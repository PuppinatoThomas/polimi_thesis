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A229F212-FB81-4DCD-A017-E8B7F666F7BB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G130" i="2"/>
  <c r="I131" i="2" l="1"/>
  <c r="H5" i="2"/>
  <c r="H6" i="2"/>
  <c r="I6" i="2" s="1"/>
  <c r="H7" i="2"/>
  <c r="I7" i="2" s="1"/>
  <c r="H8" i="2"/>
  <c r="H4" i="2"/>
  <c r="G5" i="2"/>
  <c r="I5" i="2" s="1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132" i="6" l="1"/>
  <c r="B132" i="6"/>
  <c r="C81" i="4"/>
  <c r="B81" i="4"/>
  <c r="C134" i="2"/>
  <c r="H132" i="2"/>
  <c r="I132" i="2"/>
  <c r="B134" i="2" s="1"/>
  <c r="G132" i="2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6" i="2"/>
  <c r="C7" i="2"/>
  <c r="C8" i="2"/>
  <c r="C5" i="2"/>
  <c r="B27" i="1"/>
  <c r="C20" i="2" l="1"/>
  <c r="C44" i="2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37" i="2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<sst xmlns="http://schemas.openxmlformats.org/spreadsheetml/2006/main" count="1254" uniqueCount="214">
  <si>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</si>
  <si>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</si>
  <si>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</si>
  <si>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</si>
  <si>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</si>
  <si>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</si>
  <si>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</si>
  <si>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</si>
  <si>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</si>
  <si>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</si>
  <si>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</si>
  <si>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</si>
  <si>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</si>
  <si>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</si>
  <si>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</si>
  <si>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</si>
  <si>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</si>
  <si>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</si>
  <si>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</si>
  <si>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</si>
  <si>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</si>
  <si>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</si>
  <si>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</si>
  <si>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</si>
  <si>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</si>
  <si>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</si>
  <si>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</si>
  <si>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</si>
  <si>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</si>
  <si>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</si>
  <si>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</si>
  <si>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</si>
  <si>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</si>
  <si>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</si>
  <si>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</si>
  <si>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</si>
  <si>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</si>
  <si>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</si>
  <si>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</si>
  <si>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</si>
  <si>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</si>
  <si>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</si>
  <si>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</si>
  <si>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</si>
  <si>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</si>
  <si>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</si>
  <si>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</si>
  <si>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</si>
  <si>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</si>
  <si>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</si>
  <si>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</si>
  <si>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</si>
  <si>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</si>
  <si>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</si>
  <si>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</si>
  <si>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</si>
  <si>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</si>
  <si>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</si>
  <si>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</si>
  <si>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</si>
  <si>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</si>
  <si>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</si>
  <si>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</si>
  <si>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</si>
  <si>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</si>
  <si>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</si>
  <si>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</si>
  <si>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</si>
  <si>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</si>
  <si>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</si>
  <si>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</si>
  <si>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</si>
  <si>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</si>
  <si>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</si>
  <si>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</si>
  <si>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</si>
  <si>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</si>
  <si>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</si>
  <si>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</si>
  <si>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</si>
  <si>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</si>
  <si>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</si>
  <si>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</si>
  <si>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</si>
  <si>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</si>
  <si>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</si>
  <si>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</si>
  <si>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</si>
  <si>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</si>
  <si>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</si>
  <si>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</si>
  <si>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</si>
  <si>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</si>
  <si>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</si>
  <si>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</si>
  <si>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</si>
  <si>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</si>
  <si>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</si>
  <si>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</si>
  <si>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</si>
  <si>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</si>
  <si>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</si>
  <si>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</si>
  <si>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</si>
  <si>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</si>
  <si>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</si>
  <si>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</si>
  <si>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</si>
  <si>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</si>
  <si>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</si>
  <si>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</si>
  <si>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</si>
  <si>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</si>
  <si>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</si>
  <si>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</si>
  <si>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</si>
  <si>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</si>
  <si>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</si>
  <si>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</si>
  <si>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</si>
  <si>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</si>
  <si>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</si>
  <si>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</si>
  <si>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</si>
  <si>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</si>
  <si>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</si>
  <si>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</si>
  <si>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</si>
  <si>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</si>
  <si>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</si>
  <si>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</si>
  <si>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</si>
  <si>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</si>
  <si>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</si>
  <si>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</si>
  <si>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</si>
  <si>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</si>
  <si>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</si>
  <si>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</si>
  <si>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</si>
  <si>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</si>
  <si>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</si>
  <si>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</si>
  <si>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</si>
  <si>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</si>
  <si>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</si>
  <si>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</si>
  <si>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</si>
  <si>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</si>
  <si>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</si>
  <si>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</si>
  <si>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</si>
  <si>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</si>
  <si>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</si>
  <si>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</si>
  <si>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</si>
  <si>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</si>
  <si>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</si>
  <si>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</si>
  <si>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</si>
  <si>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</si>
  <si>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</si>
  <si>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</si>
  <si>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</si>
  <si>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</si>
  <si>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</si>
  <si>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</si>
  <si>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</si>
  <si>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</si>
  <si>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</si>
  <si>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</si>
  <si>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</si>
  <si>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</si>
  <si>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</si>
  <si>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</si>
  <si>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</si>
  <si>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</si>
  <si>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</si>
  <si>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</si>
  <si>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</si>
  <si>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</si>
  <si>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</si>
  <si>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</si>
  <si>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</si>
  <si>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</si>
  <si>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</si>
  <si>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</si>
  <si>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</si>
  <si>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</si>
  <si>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</si>
  <si>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</si>
  <si>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</si>
  <si>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</si>
  <si>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</si>
  <si>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</si>
  <si>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</si>
  <si>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</si>
  <si>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</si>
  <si>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</si>
  <si>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</si>
  <si>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</si>
  <si>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</si>
  <si>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</si>
  <si>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Nota</t>
  </si>
  <si>
    <t>fa outlier detection anche per broker_id, in quanto la considera una colonna numerica</t>
  </si>
  <si>
    <t>Nota_2</t>
  </si>
  <si>
    <t>Dice di applicare IQR method ma, dopo aver fornito due outlier, non fornisce il terzo contenuto tra essi (risultato non ottenibile usando IQR method)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</si>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</sst>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73" zoomScale="89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1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1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1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A113" zoomScale="57" workbookViewId="0">
      <selection activeCell="D121" sqref="D121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6" x14ac:dyDescent="0.4">
      <c r="A1" s="4" t="s">
        <v>18</v>
      </c>
      <c r="C1" s="2"/>
    </row>
    <row r="2" spans="1:16" x14ac:dyDescent="0.4">
      <c r="D2" s="3"/>
    </row>
    <row r="3" spans="1:16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P3" s="3" t="s">
        <v>213</v>
      </c>
    </row>
    <row r="4" spans="1:16" x14ac:dyDescent="0.4">
      <c r="A4" t="s">
        <v>0</v>
      </c>
      <c r="B4" t="s">
        <v>159</v>
      </c>
      <c r="C4" s="3" t="str">
        <f>IF(Completeness!D4=1,"Sì","No")</f>
        <v>Sì</v>
      </c>
      <c r="D4" s="3">
        <v>2</v>
      </c>
      <c r="E4" s="3">
        <v>2</v>
      </c>
      <c r="F4" s="3">
        <v>6</v>
      </c>
      <c r="G4">
        <f>IF(D4+E4=0, 0, D4/(D4+E4))</f>
        <v>0.5</v>
      </c>
      <c r="H4">
        <f>IF(D4+F4=0, 0, D4/(D4+F4))</f>
        <v>0.25</v>
      </c>
      <c r="I4" s="3">
        <f>IF(G4+H4=0, 0,(2*G4*H4)/(G4+H4))</f>
        <v>0.33333333333333331</v>
      </c>
      <c r="J4" s="2" t="s">
        <v>178</v>
      </c>
    </row>
    <row r="5" spans="1:16" x14ac:dyDescent="0.4">
      <c r="A5" t="s">
        <v>1</v>
      </c>
      <c r="B5" t="s">
        <v>160</v>
      </c>
      <c r="C5" s="3" t="str">
        <f>IF(Completeness!D5=1,"Sì","No")</f>
        <v>Sì</v>
      </c>
      <c r="D5" s="3">
        <v>1</v>
      </c>
      <c r="E5" s="3">
        <v>0</v>
      </c>
      <c r="F5" s="3">
        <v>5</v>
      </c>
      <c r="G5">
        <f t="shared" ref="G5:G8" si="0">IF(D5+E5=0, 0, D5/(D5+E5))</f>
        <v>1</v>
      </c>
      <c r="H5">
        <f t="shared" ref="H5:H8" si="1">IF(D5+F5=0, 0, D5/(D5+F5))</f>
        <v>0.16666666666666666</v>
      </c>
      <c r="I5" s="3">
        <f t="shared" ref="I5:I8" si="2">IF(G5+H5=0, 0,(2*G5*H5)/(G5+H5))</f>
        <v>0.2857142857142857</v>
      </c>
      <c r="J5" s="2" t="s">
        <v>179</v>
      </c>
    </row>
    <row r="6" spans="1:16" x14ac:dyDescent="0.4">
      <c r="A6" t="s">
        <v>2</v>
      </c>
      <c r="B6" t="s">
        <v>161</v>
      </c>
      <c r="C6" s="3" t="str">
        <f>IF(Completeness!D6=1,"Sì","No")</f>
        <v>Sì</v>
      </c>
      <c r="D6" s="3">
        <v>6</v>
      </c>
      <c r="E6" s="3">
        <v>0</v>
      </c>
      <c r="F6" s="3">
        <v>3</v>
      </c>
      <c r="G6">
        <f t="shared" si="0"/>
        <v>1</v>
      </c>
      <c r="H6">
        <f t="shared" si="1"/>
        <v>0.66666666666666663</v>
      </c>
      <c r="I6" s="3">
        <f t="shared" si="2"/>
        <v>0.8</v>
      </c>
      <c r="J6" s="2" t="s">
        <v>15</v>
      </c>
    </row>
    <row r="7" spans="1:16" x14ac:dyDescent="0.4">
      <c r="A7" t="s">
        <v>3</v>
      </c>
      <c r="B7" t="s">
        <v>162</v>
      </c>
      <c r="C7" s="3" t="str">
        <f>IF(Completeness!D7=1,"Sì","No")</f>
        <v>Sì</v>
      </c>
      <c r="D7" s="3">
        <v>9</v>
      </c>
      <c r="E7" s="3">
        <v>0</v>
      </c>
      <c r="F7" s="3">
        <v>6</v>
      </c>
      <c r="G7">
        <f t="shared" si="0"/>
        <v>1</v>
      </c>
      <c r="H7">
        <f t="shared" si="1"/>
        <v>0.6</v>
      </c>
      <c r="I7" s="3">
        <f t="shared" si="2"/>
        <v>0.74999999999999989</v>
      </c>
      <c r="J7" s="2" t="s">
        <v>16</v>
      </c>
    </row>
    <row r="8" spans="1:16" x14ac:dyDescent="0.4">
      <c r="A8" t="s">
        <v>4</v>
      </c>
      <c r="B8" t="s">
        <v>163</v>
      </c>
      <c r="C8" s="3" t="str">
        <f>IF(Completeness!D8=1,"Sì","No")</f>
        <v>Sì</v>
      </c>
      <c r="D8" s="3">
        <v>9</v>
      </c>
      <c r="E8" s="3">
        <v>9</v>
      </c>
      <c r="F8" s="3">
        <v>2</v>
      </c>
      <c r="G8">
        <f t="shared" si="0"/>
        <v>0.5</v>
      </c>
      <c r="H8">
        <f t="shared" si="1"/>
        <v>0.81818181818181823</v>
      </c>
      <c r="I8" s="3">
        <f t="shared" si="2"/>
        <v>0.6206896551724137</v>
      </c>
      <c r="J8" s="2" t="s">
        <v>17</v>
      </c>
    </row>
    <row r="9" spans="1:16" x14ac:dyDescent="0.4">
      <c r="C9" s="3"/>
      <c r="D9" s="3"/>
      <c r="E9" s="3"/>
      <c r="F9" s="3"/>
      <c r="G9" s="4">
        <f>IFERROR(SUM(G4:G8)/COUNTIF(C4:C8, "Sì"), 0)</f>
        <v>0.8</v>
      </c>
      <c r="H9" s="4">
        <f>IFERROR(SUM(H4:H8)/COUNTIF(C4:C8, "Sì"), 0)</f>
        <v>0.50030303030303025</v>
      </c>
      <c r="I9" s="13">
        <f>IFERROR(SUM(I4:I8)/COUNTIF(C4:C8, "Sì"), 0)</f>
        <v>0.55794745484400654</v>
      </c>
    </row>
    <row r="10" spans="1:16" x14ac:dyDescent="0.4">
      <c r="B10" s="3"/>
      <c r="C10" s="3"/>
      <c r="D10" s="3"/>
    </row>
    <row r="11" spans="1:16" x14ac:dyDescent="0.4">
      <c r="B11" s="3"/>
      <c r="C11" s="3"/>
      <c r="D11" s="3"/>
    </row>
    <row r="12" spans="1:16" x14ac:dyDescent="0.4">
      <c r="A12" s="4" t="s">
        <v>19</v>
      </c>
      <c r="B12" s="3"/>
      <c r="C12" s="3"/>
      <c r="D12" s="3"/>
    </row>
    <row r="13" spans="1:16" x14ac:dyDescent="0.4">
      <c r="A13" t="s">
        <v>0</v>
      </c>
      <c r="B13" s="2" t="s">
        <v>198</v>
      </c>
      <c r="C13" s="3"/>
      <c r="D13" s="3"/>
    </row>
    <row r="14" spans="1:16" x14ac:dyDescent="0.4">
      <c r="A14" t="s">
        <v>1</v>
      </c>
      <c r="B14" s="2" t="s">
        <v>199</v>
      </c>
      <c r="C14" s="3"/>
      <c r="D14" s="3"/>
    </row>
    <row r="15" spans="1:16" x14ac:dyDescent="0.4">
      <c r="A15" t="s">
        <v>2</v>
      </c>
      <c r="B15" s="2" t="s">
        <v>200</v>
      </c>
      <c r="C15" s="3"/>
      <c r="D15" s="3"/>
    </row>
    <row r="16" spans="1:16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0.55794745484400654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1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1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Sì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Sì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0.87500000000000011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207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208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208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208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208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208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208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208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208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208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208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208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208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209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209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209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209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209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209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210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210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210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210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210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210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210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210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210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210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210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210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209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209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209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209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209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209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208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208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208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208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208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208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208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208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208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208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208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208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211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211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211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211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211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211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212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212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212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212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212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212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209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209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209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209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209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209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0</v>
      </c>
      <c r="E116" s="6" t="s">
        <v>125</v>
      </c>
      <c r="F116" t="s">
        <v>208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0</v>
      </c>
      <c r="E117" s="6" t="s">
        <v>125</v>
      </c>
      <c r="F117" t="s">
        <v>208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0</v>
      </c>
      <c r="E118" s="6" t="s">
        <v>126</v>
      </c>
      <c r="F118" t="s">
        <v>208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0</v>
      </c>
      <c r="E119" s="6" t="s">
        <v>126</v>
      </c>
      <c r="F119" t="s">
        <v>208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0</v>
      </c>
      <c r="E120" s="6" t="s">
        <v>127</v>
      </c>
      <c r="F120" t="s">
        <v>208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0</v>
      </c>
      <c r="E121" s="6" t="s">
        <v>127</v>
      </c>
      <c r="F121" t="s">
        <v>208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0.80000000000000016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5</v>
      </c>
      <c r="E131" s="8">
        <v>0</v>
      </c>
      <c r="F131" s="8">
        <v>5</v>
      </c>
      <c r="G131" s="6">
        <f>IFERROR(D131/(D131+E131), 0)</f>
        <v>1</v>
      </c>
      <c r="H131" s="6">
        <f>IFERROR(D131/(D131+F131), 0)</f>
        <v>0.5</v>
      </c>
      <c r="I131">
        <f>IFERROR((2*G131*H131)/(G131+H131), 0)</f>
        <v>0.66666666666666663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0.5</v>
      </c>
      <c r="I132" s="15">
        <f>IFERROR((I130+I131)/COUNTIF(C130:C131, "Sì"), 0)</f>
        <v>0.66666666666666663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0.66666666666666663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0.7249035303776683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24" zoomScale="56" zoomScaleNormal="100" workbookViewId="0">
      <selection activeCell="D9" sqref="D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Sì</v>
      </c>
      <c r="D23" s="3">
        <v>1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8" zoomScale="55" workbookViewId="0">
      <selection activeCell="B105" sqref="B105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1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1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1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1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1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1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Sì</v>
      </c>
      <c r="D34" s="8">
        <v>1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Sì</v>
      </c>
      <c r="D35" s="8">
        <v>1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1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1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1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1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1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1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1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1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1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1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1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1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1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1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1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1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1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1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1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1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1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1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1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1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1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1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1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1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1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1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1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1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1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1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1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1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1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1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1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0.75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8" zoomScale="68" workbookViewId="0">
      <selection activeCell="E60" sqref="E6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0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3</v>
      </c>
      <c r="E19" s="3">
        <f t="shared" si="0"/>
        <v>0.81818181818181812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3</v>
      </c>
      <c r="E20" s="3">
        <f t="shared" si="0"/>
        <v>0.81818181818181812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3</v>
      </c>
      <c r="E21" s="3">
        <f t="shared" si="0"/>
        <v>0.81818181818181812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4</v>
      </c>
      <c r="E22" s="3">
        <f t="shared" si="0"/>
        <v>0.72727272727272729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0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0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0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0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0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0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0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0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0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2</v>
      </c>
      <c r="E35" s="3">
        <f t="shared" si="0"/>
        <v>0.90909090909090906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2</v>
      </c>
      <c r="E36" s="3">
        <f t="shared" si="0"/>
        <v>0.90909090909090906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3</v>
      </c>
      <c r="E37" s="3">
        <f t="shared" si="0"/>
        <v>0.81818181818181812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2</v>
      </c>
      <c r="E38" s="3">
        <f t="shared" si="0"/>
        <v>0.90909090909090906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2</v>
      </c>
      <c r="E39" s="3">
        <f t="shared" si="0"/>
        <v>0.90909090909090906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3</v>
      </c>
      <c r="E40" s="3">
        <f t="shared" si="0"/>
        <v>0.81818181818181812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3</v>
      </c>
      <c r="E41" s="3">
        <f t="shared" si="0"/>
        <v>0.81818181818181812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3</v>
      </c>
      <c r="E42" s="3">
        <f t="shared" si="0"/>
        <v>0.81818181818181812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4</v>
      </c>
      <c r="E43" s="3">
        <f t="shared" si="0"/>
        <v>0.72727272727272729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1</v>
      </c>
      <c r="E44" s="3">
        <f t="shared" si="0"/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0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4</v>
      </c>
      <c r="E46" s="3">
        <f t="shared" si="0"/>
        <v>0.72727272727272729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0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0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3</v>
      </c>
      <c r="E50" s="3">
        <f t="shared" si="0"/>
        <v>0.81818181818181812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3</v>
      </c>
      <c r="E51" s="3">
        <f t="shared" si="0"/>
        <v>0.81818181818181812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4</v>
      </c>
      <c r="E52" s="3">
        <f t="shared" si="0"/>
        <v>0.72727272727272729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0.76262626262626254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0.38131313131313127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7" zoomScaleNormal="140" workbookViewId="0">
      <selection activeCell="A12" sqref="A12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 t="s">
        <v>203</v>
      </c>
      <c r="B8" s="6"/>
      <c r="C8" s="8"/>
      <c r="D8" s="8"/>
      <c r="E8" s="6"/>
    </row>
    <row r="9" spans="1:5" x14ac:dyDescent="0.4">
      <c r="A9" s="6" t="s">
        <v>204</v>
      </c>
      <c r="B9" s="6"/>
      <c r="C9" s="8"/>
      <c r="D9" s="8"/>
      <c r="E9" s="6"/>
    </row>
    <row r="10" spans="1:5" x14ac:dyDescent="0.4">
      <c r="A10" s="6" t="s">
        <v>205</v>
      </c>
      <c r="B10" s="6"/>
      <c r="C10" s="8"/>
      <c r="D10" s="8"/>
      <c r="E10" s="6"/>
    </row>
    <row r="11" spans="1:5" x14ac:dyDescent="0.4">
      <c r="A11" s="6" t="s">
        <v>206</v>
      </c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2025-10-25T14:52:47Z</dcterms:modified>
</cp:coreProperties>
</file>