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C56153BD-8F88-457D-AA7C-FFD3E89F2A56}" xr6:coauthVersionLast="47" xr6:coauthVersionMax="47" xr10:uidLastSave="{00000000-0000-0000-0000-000000000000}"/>
  <bookViews>
    <workbookView xWindow="-110" yWindow="-110" windowWidth="19420" windowHeight="10420" activeTab="5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C134" i="2" s="1"/>
  <c r="C130" i="2"/>
  <c r="H131" i="2"/>
  <c r="G131" i="2"/>
  <c r="G132" i="2" s="1"/>
  <c r="H130" i="2"/>
  <c r="G130" i="2"/>
  <c r="I130" i="2" s="1"/>
  <c r="C8" i="2"/>
  <c r="C7" i="2"/>
  <c r="C6" i="2"/>
  <c r="C5" i="2"/>
  <c r="C4" i="2"/>
  <c r="H8" i="2"/>
  <c r="I8" i="2" s="1"/>
  <c r="G8" i="2"/>
  <c r="H7" i="2"/>
  <c r="G7" i="2"/>
  <c r="H6" i="2"/>
  <c r="G6" i="2"/>
  <c r="H5" i="2"/>
  <c r="G5" i="2"/>
  <c r="H4" i="2"/>
  <c r="G4" i="2"/>
  <c r="C129" i="6"/>
  <c r="B132" i="6" s="1"/>
  <c r="C128" i="6"/>
  <c r="C127" i="6"/>
  <c r="C126" i="6"/>
  <c r="C78" i="4"/>
  <c r="B81" i="4" s="1"/>
  <c r="E5" i="5"/>
  <c r="E6" i="5"/>
  <c r="E7" i="5"/>
  <c r="E8" i="5"/>
  <c r="E4" i="5"/>
  <c r="I131" i="2" l="1"/>
  <c r="C132" i="6"/>
  <c r="C81" i="4"/>
  <c r="I7" i="2"/>
  <c r="I6" i="2"/>
  <c r="G9" i="2"/>
  <c r="I5" i="2"/>
  <c r="H9" i="2"/>
  <c r="C20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1" i="4" l="1"/>
  <c r="C11" i="4"/>
  <c r="C16" i="6"/>
  <c r="B16" i="6"/>
  <c r="B11" i="5"/>
  <c r="C11" i="5"/>
  <c r="B137" i="2"/>
  <c r="B84" i="4" l="1"/>
  <c r="B58" i="5"/>
  <c r="B135" i="6"/>
</calcChain>
</file>

<file path=xl/sharedStrings.xml><?xml version="1.0" encoding="utf-8"?>
<sst xmlns="http://schemas.openxmlformats.org/spreadsheetml/2006/main" count="1282" uniqueCount="242">
  <si>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</si>
  <si>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</si>
  <si>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</si>
  <si>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</si>
  <si>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</si>
  <si>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</si>
  <si>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</si>
  <si>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</si>
  <si>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</si>
  <si>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</si>
  <si>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</si>
  <si>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</si>
  <si>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</si>
  <si>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</si>
  <si>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</si>
  <si>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</si>
  <si>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</si>
  <si>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</si>
  <si>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</si>
  <si>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</si>
  <si>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</si>
  <si>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</si>
  <si>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</si>
  <si>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</si>
  <si>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</si>
  <si>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</si>
  <si>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</si>
  <si>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</si>
  <si>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</si>
  <si>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</si>
  <si>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</si>
  <si>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</si>
  <si>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</si>
  <si>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</si>
  <si>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</si>
  <si>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</si>
  <si>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</si>
  <si>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</si>
  <si>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</si>
  <si>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</si>
  <si>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</si>
  <si>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</si>
  <si>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</si>
  <si>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</si>
  <si>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</si>
  <si>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</si>
  <si>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</si>
  <si>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</si>
  <si>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</si>
  <si>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</si>
  <si>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</si>
  <si>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</si>
  <si>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</si>
  <si>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</si>
  <si>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</si>
  <si>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</si>
  <si>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</si>
  <si>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</si>
  <si>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</si>
  <si>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</si>
  <si>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</si>
  <si>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</si>
  <si>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</si>
  <si>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</si>
  <si>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</si>
  <si>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</si>
  <si>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</si>
  <si>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</si>
  <si>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</si>
  <si>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</si>
  <si>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</si>
  <si>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</si>
  <si>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</si>
  <si>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</si>
  <si>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</si>
  <si>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</si>
  <si>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</si>
  <si>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</si>
  <si>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</si>
  <si>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</si>
  <si>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</si>
  <si>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</si>
  <si>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</si>
  <si>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</si>
  <si>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</si>
  <si>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</si>
  <si>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</si>
  <si>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</si>
  <si>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</si>
  <si>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</si>
  <si>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</si>
  <si>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</si>
  <si>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</si>
  <si>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</si>
  <si>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</si>
  <si>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</si>
  <si>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</si>
  <si>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</si>
  <si>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</si>
  <si>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</si>
  <si>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</si>
  <si>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</si>
  <si>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</si>
  <si>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</si>
  <si>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</si>
  <si>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</si>
  <si>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</si>
  <si>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</si>
  <si>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</si>
  <si>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</si>
  <si>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</si>
  <si>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</si>
  <si>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</si>
  <si>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</si>
  <si>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</si>
  <si>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</si>
  <si>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</si>
  <si>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</si>
  <si>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</si>
  <si>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</si>
  <si>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</si>
  <si>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</si>
  <si>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</si>
  <si>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</si>
  <si>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</si>
  <si>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</si>
  <si>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</si>
  <si>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</si>
  <si>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</si>
  <si>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</si>
  <si>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</si>
  <si>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</si>
  <si>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</si>
  <si>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</si>
  <si>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</si>
  <si>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</si>
  <si>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</si>
  <si>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</si>
  <si>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</si>
  <si>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</si>
  <si>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</si>
  <si>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</si>
  <si>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</si>
  <si>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</si>
  <si>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</si>
  <si>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</si>
  <si>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</si>
  <si>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</si>
  <si>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</si>
  <si>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</si>
  <si>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</si>
  <si>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</si>
  <si>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</si>
  <si>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</si>
  <si>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</si>
  <si>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</si>
  <si>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</si>
  <si>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</si>
  <si>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</si>
  <si>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</si>
  <si>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</si>
  <si>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</si>
  <si>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</si>
  <si>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</si>
  <si>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</si>
  <si>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</si>
  <si>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</si>
  <si>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</si>
  <si>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</si>
  <si>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</si>
  <si>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</si>
  <si>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</si>
  <si>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</si>
  <si>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</si>
  <si>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</si>
  <si>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</si>
  <si>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</si>
  <si>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</si>
  <si>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</si>
  <si>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</si>
  <si>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</si>
  <si>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</si>
  <si>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</si>
  <si>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</si>
  <si>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</si>
  <si>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</si>
  <si>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</si>
  <si>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</si>
  <si>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</si>
  <si>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</si>
  <si>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</si>
  <si>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</si>
  <si>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</si>
  <si>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</si>
  <si>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</si>
  <si>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</si>
  <si>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</si>
  <si>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</si>
  <si>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</si>
  <si>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</si>
  <si>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</si>
  <si>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</si>
  <si>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</si>
  <si>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</si>
  <si>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</si>
  <si>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</si>
  <si>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</si>
  <si>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</si>
  <si>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</si>
  <si>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</si>
  <si>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</si>
  <si>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</si>
  <si>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</si>
  <si>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</si>
  <si>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</si>
  <si>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</si>
  <si>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</si>
  <si>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</si>
  <si>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</si>
  <si>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</si>
  <si>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</si>
  <si>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</si>
  <si>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</si>
  <si>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</si>
  <si>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</si>
  <si>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</si>
  <si>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</si>
  <si>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</si>
  <si>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</si>
  <si>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</si>
  <si>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</si>
  <si>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</si>
  <si>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</si>
  <si>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</si>
  <si>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</si>
  <si>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Per calcolare, qualora vengano proposte soluzioni con un diverso numero di outlier dati, uso il metodo che ne fornisce di più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</si>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</sst>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7" zoomScale="65" workbookViewId="0">
      <selection activeCell="E67" sqref="E6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127" zoomScale="49" workbookViewId="0">
      <selection activeCell="E132" sqref="E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235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2</v>
      </c>
      <c r="E4" s="3">
        <v>0</v>
      </c>
      <c r="F4" s="3">
        <v>14</v>
      </c>
      <c r="G4">
        <f>IF(D4+E4=0, 0, D4/(D4+E4))</f>
        <v>1</v>
      </c>
      <c r="H4">
        <f>IF(D4+F4=0, 0, D4/(D4+F4))</f>
        <v>0.125</v>
      </c>
      <c r="I4" s="3">
        <f>IF(G4+H4=0, 0,(2*G4*H4)/(G4+H4))</f>
        <v>0.22222222222222221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Sì</v>
      </c>
      <c r="D5" s="3">
        <v>6</v>
      </c>
      <c r="E5" s="3">
        <v>0</v>
      </c>
      <c r="F5" s="3">
        <v>3</v>
      </c>
      <c r="G5">
        <f t="shared" ref="G5:G8" si="0">IF(D5+E5=0, 0, D5/(D5+E5))</f>
        <v>1</v>
      </c>
      <c r="H5">
        <f t="shared" ref="H5:H8" si="1">IF(D5+F5=0, 0, D5/(D5+F5))</f>
        <v>0.66666666666666663</v>
      </c>
      <c r="I5" s="3">
        <f t="shared" ref="I5:I8" si="2">IF(G5+H5=0, 0,(2*G5*H5)/(G5+H5))</f>
        <v>0.8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Sì</v>
      </c>
      <c r="D6" s="3">
        <v>6</v>
      </c>
      <c r="E6" s="3">
        <v>0</v>
      </c>
      <c r="F6" s="3">
        <v>14</v>
      </c>
      <c r="G6">
        <f t="shared" si="0"/>
        <v>1</v>
      </c>
      <c r="H6">
        <f t="shared" si="1"/>
        <v>0.3</v>
      </c>
      <c r="I6" s="3">
        <f t="shared" si="2"/>
        <v>0.46153846153846151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10</v>
      </c>
      <c r="E7" s="3">
        <v>0</v>
      </c>
      <c r="F7" s="3">
        <v>1</v>
      </c>
      <c r="G7">
        <f t="shared" si="0"/>
        <v>1</v>
      </c>
      <c r="H7">
        <f t="shared" si="1"/>
        <v>0.90909090909090906</v>
      </c>
      <c r="I7" s="3">
        <f t="shared" si="2"/>
        <v>0.95238095238095233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6</v>
      </c>
      <c r="E8" s="3">
        <v>0</v>
      </c>
      <c r="F8" s="3">
        <v>24</v>
      </c>
      <c r="G8">
        <f t="shared" si="0"/>
        <v>1</v>
      </c>
      <c r="H8">
        <f t="shared" si="1"/>
        <v>0.2</v>
      </c>
      <c r="I8" s="3">
        <f t="shared" si="2"/>
        <v>0.33333333333333337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1</v>
      </c>
      <c r="H9" s="4">
        <f>IFERROR(SUM(H4:H8)/COUNTIF(C4:C8, "Sì"), 0)</f>
        <v>0.44015151515151513</v>
      </c>
      <c r="I9" s="13">
        <f>IFERROR(SUM(I4:I8)/COUNTIF(C4:C8, "Sì"), 0)</f>
        <v>0.55389499389499386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230</v>
      </c>
      <c r="C13" s="3"/>
      <c r="D13" s="3"/>
    </row>
    <row r="14" spans="1:12" x14ac:dyDescent="0.4">
      <c r="A14" t="s">
        <v>1</v>
      </c>
      <c r="B14" s="2" t="s">
        <v>231</v>
      </c>
      <c r="C14" s="3"/>
      <c r="D14" s="3"/>
    </row>
    <row r="15" spans="1:12" x14ac:dyDescent="0.4">
      <c r="A15" t="s">
        <v>2</v>
      </c>
      <c r="B15" s="2" t="s">
        <v>232</v>
      </c>
      <c r="C15" s="3"/>
      <c r="D15" s="3"/>
    </row>
    <row r="16" spans="1:12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0.55389499389499386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0.97142857142857153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236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237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237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237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237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237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237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237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237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237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237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237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237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238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238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238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238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238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238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239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239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239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239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239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239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239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239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239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239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239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239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238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238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238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238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238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238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237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237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237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237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237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237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237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237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237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237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237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237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240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240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240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240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240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240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241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241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241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241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241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241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238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238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238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238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238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238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237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237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t="s">
        <v>237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t="s">
        <v>237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237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237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0.89999999999999991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4</v>
      </c>
      <c r="E131" s="8">
        <v>13</v>
      </c>
      <c r="F131" s="8">
        <v>46</v>
      </c>
      <c r="G131" s="6">
        <f>IFERROR(D131/(D131+E131), 0)</f>
        <v>0.23529411764705882</v>
      </c>
      <c r="H131" s="6">
        <f>IFERROR(D131/(D131+F131), 0)</f>
        <v>0.08</v>
      </c>
      <c r="I131">
        <f>IFERROR((2*G131*H131)/(G131+H131), 0)</f>
        <v>0.11940298507462688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0.23529411764705882</v>
      </c>
      <c r="H132" s="9">
        <f>IFERROR((H130+H131)/COUNTIF(C130:C131, "Sì"), 0)</f>
        <v>0.08</v>
      </c>
      <c r="I132" s="15">
        <f>IFERROR((I130+I131)/COUNTIF(C130:C131, "Sì"), 0)</f>
        <v>0.11940298507462688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0.11940298507462688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0.63618163759954804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6" zoomScale="66" workbookViewId="0">
      <selection activeCell="D79" sqref="D7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6" zoomScale="66" workbookViewId="0">
      <selection activeCell="D130" sqref="D13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1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1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1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1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1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1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1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1.0000000000000002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1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1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1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1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1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1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1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1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1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1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1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1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1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1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1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1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1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1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1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1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1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1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1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1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1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1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1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1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1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1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1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1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1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1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1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1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1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0.75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2" zoomScale="69" workbookViewId="0">
      <selection activeCell="D54" sqref="D54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1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2</v>
      </c>
      <c r="E18" s="3">
        <f t="shared" si="1"/>
        <v>0.90909090909090906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1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1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1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</v>
      </c>
      <c r="E22" s="3">
        <f t="shared" si="1"/>
        <v>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1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1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1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1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1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1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1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1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1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1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1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1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4</v>
      </c>
      <c r="E35" s="3">
        <f t="shared" si="1"/>
        <v>0.72727272727272729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4</v>
      </c>
      <c r="E36" s="3">
        <f t="shared" si="1"/>
        <v>0.72727272727272729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6</v>
      </c>
      <c r="E37" s="3">
        <f t="shared" si="1"/>
        <v>0.54545454545454541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4</v>
      </c>
      <c r="E38" s="3">
        <f t="shared" si="1"/>
        <v>0.72727272727272729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4</v>
      </c>
      <c r="E39" s="3">
        <f t="shared" si="1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6</v>
      </c>
      <c r="E40" s="3">
        <f t="shared" si="1"/>
        <v>0.54545454545454541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4</v>
      </c>
      <c r="E41" s="3">
        <f t="shared" si="1"/>
        <v>0.72727272727272729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1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6</v>
      </c>
      <c r="E43" s="3">
        <f t="shared" si="1"/>
        <v>0.54545454545454541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1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2</v>
      </c>
      <c r="E45" s="3">
        <f t="shared" si="1"/>
        <v>0.90909090909090906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1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1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1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1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4</v>
      </c>
      <c r="E50" s="3">
        <f t="shared" si="1"/>
        <v>0.72727272727272729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4</v>
      </c>
      <c r="E51" s="3">
        <f t="shared" si="1"/>
        <v>0.72727272727272729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6</v>
      </c>
      <c r="E52" s="3">
        <f t="shared" si="1"/>
        <v>0.54545454545454541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0.70202020202020221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0.35101010101010111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tabSelected="1" zoomScale="115" zoomScaleNormal="140" workbookViewId="0">
      <selection activeCell="B3" sqref="B3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  <c r="C2" s="8"/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2025-10-25T20:09:58Z</dcterms:modified>
</cp:coreProperties>
</file>