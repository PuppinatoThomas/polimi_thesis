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8_{F41DFC7D-00A6-4F71-8403-9DB5070B73AD}" xr6:coauthVersionLast="47" xr6:coauthVersionMax="47" xr10:uidLastSave="{00000000-0000-0000-0000-000000000000}"/>
  <bookViews>
    <workbookView xWindow="-110" yWindow="-110" windowWidth="19420" windowHeight="10420" activeTab="4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4" l="1"/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4" i="2"/>
  <c r="C8" i="2"/>
  <c r="C20" i="2" s="1"/>
  <c r="C7" i="2"/>
  <c r="C6" i="2"/>
  <c r="C5" i="2"/>
  <c r="C4" i="2"/>
  <c r="C131" i="2"/>
  <c r="C130" i="2"/>
  <c r="H131" i="2"/>
  <c r="G131" i="2"/>
  <c r="I131" i="2" s="1"/>
  <c r="H130" i="2"/>
  <c r="I130" i="2"/>
  <c r="H8" i="2"/>
  <c r="G8" i="2"/>
  <c r="H7" i="2"/>
  <c r="I7" i="2" s="1"/>
  <c r="G7" i="2"/>
  <c r="H6" i="2"/>
  <c r="G6" i="2"/>
  <c r="I6" i="2" s="1"/>
  <c r="H5" i="2"/>
  <c r="G5" i="2"/>
  <c r="I5" i="2" s="1"/>
  <c r="H4" i="2"/>
  <c r="G4" i="2"/>
  <c r="C129" i="6"/>
  <c r="C128" i="6"/>
  <c r="C127" i="6"/>
  <c r="C126" i="6"/>
  <c r="C132" i="6" s="1"/>
  <c r="C78" i="4"/>
  <c r="E5" i="5"/>
  <c r="E6" i="5"/>
  <c r="E7" i="5"/>
  <c r="E8" i="5"/>
  <c r="E4" i="5"/>
  <c r="I4" i="2" l="1"/>
  <c r="G9" i="2"/>
  <c r="B132" i="6"/>
  <c r="I132" i="2"/>
  <c r="B134" i="2" s="1"/>
  <c r="H132" i="2"/>
  <c r="I8" i="2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I9" i="2" l="1"/>
  <c r="B20" i="2" s="1"/>
  <c r="C77" i="4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0" i="6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B44" i="2" l="1"/>
  <c r="C44" i="2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B137" i="2" l="1"/>
  <c r="C11" i="5"/>
  <c r="B11" i="5"/>
  <c r="B58" i="5" s="1"/>
  <c r="B16" i="6"/>
  <c r="C16" i="6"/>
  <c r="B11" i="4"/>
  <c r="C11" i="4"/>
  <c r="B135" i="6" l="1"/>
  <c r="B84" i="4"/>
</calcChain>
</file>

<file path=xl/sharedStrings.xml><?xml version="1.0" encoding="utf-8"?>
<sst xmlns="http://schemas.openxmlformats.org/spreadsheetml/2006/main" count="1265" uniqueCount="225">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</sst>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69" zoomScale="64" workbookViewId="0">
      <selection activeCell="D79" sqref="D79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1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0.63888888888888884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0.84722222222222221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zoomScale="73" workbookViewId="0">
      <selection activeCell="E161" sqref="E161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6</v>
      </c>
      <c r="E4" s="3">
        <v>0</v>
      </c>
      <c r="F4" s="3">
        <v>4</v>
      </c>
      <c r="G4">
        <f>IF(D4+E4=0, 0, D4/(D4+E4))</f>
        <v>1</v>
      </c>
      <c r="H4">
        <f>IF(D4+F4=0, 0, D4/(D4+F4))</f>
        <v>0.6</v>
      </c>
      <c r="I4" s="3">
        <f>IF(G4+H4=0, 0,(2*G4*H4)/(G4+H4))</f>
        <v>0.74999999999999989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Sì</v>
      </c>
      <c r="D5" s="3">
        <v>14</v>
      </c>
      <c r="E5" s="3">
        <v>0</v>
      </c>
      <c r="F5" s="3">
        <v>0</v>
      </c>
      <c r="G5">
        <f t="shared" ref="G5:G8" si="0">IF(D5+E5=0, 0, D5/(D5+E5))</f>
        <v>1</v>
      </c>
      <c r="H5">
        <f t="shared" ref="H5:H8" si="1">IF(D5+F5=0, 0, D5/(D5+F5))</f>
        <v>1</v>
      </c>
      <c r="I5" s="3">
        <f t="shared" ref="I5:I8" si="2">IF(G5+H5=0, 0,(2*G5*H5)/(G5+H5))</f>
        <v>1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14</v>
      </c>
      <c r="E6" s="3">
        <v>0</v>
      </c>
      <c r="F6" s="3">
        <v>0</v>
      </c>
      <c r="G6">
        <f t="shared" si="0"/>
        <v>1</v>
      </c>
      <c r="H6">
        <f t="shared" si="1"/>
        <v>1</v>
      </c>
      <c r="I6" s="3">
        <f t="shared" si="2"/>
        <v>1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15</v>
      </c>
      <c r="E7" s="3">
        <v>0</v>
      </c>
      <c r="F7" s="3">
        <v>0</v>
      </c>
      <c r="G7">
        <f t="shared" si="0"/>
        <v>1</v>
      </c>
      <c r="H7">
        <f t="shared" si="1"/>
        <v>1</v>
      </c>
      <c r="I7" s="3">
        <f t="shared" si="2"/>
        <v>1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3</v>
      </c>
      <c r="E8" s="3">
        <v>5</v>
      </c>
      <c r="F8" s="3">
        <v>0</v>
      </c>
      <c r="G8">
        <f t="shared" si="0"/>
        <v>0.375</v>
      </c>
      <c r="H8">
        <f t="shared" si="1"/>
        <v>1</v>
      </c>
      <c r="I8" s="3">
        <f t="shared" si="2"/>
        <v>0.54545454545454541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0.875</v>
      </c>
      <c r="H9" s="4">
        <f>IFERROR(SUM(H4:H8)/COUNTIF(C4:C8, "Sì"), 0)</f>
        <v>0.91999999999999993</v>
      </c>
      <c r="I9" s="13">
        <f>IFERROR(SUM(I4:I8)/COUNTIF(C4:C8, "Sì"), 0)</f>
        <v>0.85909090909090902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214</v>
      </c>
      <c r="C13" s="3"/>
      <c r="D13" s="3"/>
    </row>
    <row r="14" spans="1:10" x14ac:dyDescent="0.4">
      <c r="A14" t="s">
        <v>1</v>
      </c>
      <c r="B14" s="2" t="s">
        <v>215</v>
      </c>
      <c r="C14" s="3"/>
      <c r="D14" s="3"/>
    </row>
    <row r="15" spans="1:10" x14ac:dyDescent="0.4">
      <c r="A15" t="s">
        <v>2</v>
      </c>
      <c r="B15" s="2" t="s">
        <v>216</v>
      </c>
      <c r="C15" s="3"/>
      <c r="D15" s="3"/>
    </row>
    <row r="16" spans="1:10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0.85909090909090902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Sì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Sì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0.83333333333333337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219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t="s">
        <v>220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t="s">
        <v>220</v>
      </c>
      <c r="G51" s="6"/>
      <c r="I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t="s">
        <v>220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t="s">
        <v>220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t="s">
        <v>220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t="s">
        <v>220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t="s">
        <v>220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0</v>
      </c>
      <c r="E57" s="6" t="s">
        <v>95</v>
      </c>
      <c r="F57" t="s">
        <v>220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220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0</v>
      </c>
      <c r="E59" s="6" t="s">
        <v>96</v>
      </c>
      <c r="F59" t="s">
        <v>220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220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0</v>
      </c>
      <c r="E61" s="6" t="s">
        <v>97</v>
      </c>
      <c r="F61" t="s">
        <v>220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221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221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t="s">
        <v>221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t="s">
        <v>221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221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221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222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222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222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1</v>
      </c>
      <c r="E71" s="6" t="s">
        <v>102</v>
      </c>
      <c r="F71" t="s">
        <v>222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222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222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222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222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222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222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222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222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221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221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221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221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221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221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220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220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220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220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t="s">
        <v>220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t="s">
        <v>220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220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0</v>
      </c>
      <c r="E93" s="6" t="s">
        <v>113</v>
      </c>
      <c r="F93" t="s">
        <v>220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220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0</v>
      </c>
      <c r="E95" s="6" t="s">
        <v>114</v>
      </c>
      <c r="F95" t="s">
        <v>220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220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0</v>
      </c>
      <c r="E97" s="6" t="s">
        <v>115</v>
      </c>
      <c r="F97" t="s">
        <v>220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223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223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223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223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223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223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t="s">
        <v>224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t="s">
        <v>224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t="s">
        <v>224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t="s">
        <v>224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t="s">
        <v>224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t="s">
        <v>224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221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221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221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221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221</v>
      </c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221</v>
      </c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220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220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220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220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t="s">
        <v>220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t="s">
        <v>220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0.85217391304347834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8</v>
      </c>
      <c r="E131" s="8">
        <v>0</v>
      </c>
      <c r="F131" s="8">
        <v>22</v>
      </c>
      <c r="G131" s="6">
        <f>IFERROR(D131/(D131+E131), 0)</f>
        <v>1</v>
      </c>
      <c r="H131" s="6">
        <f>IFERROR(D131/(D131+F131), 0)</f>
        <v>0.26666666666666666</v>
      </c>
      <c r="I131">
        <f>IFERROR((2*G131*H131)/(G131+H131), 0)</f>
        <v>0.4210526315789474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0.26666666666666666</v>
      </c>
      <c r="I132" s="15">
        <f>IFERROR((I130+I131)/COUNTIF(C130:C131, "Sì"), 0)</f>
        <v>0.4210526315789474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0.4210526315789474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0.74141269676166699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4" zoomScale="59" workbookViewId="0">
      <selection activeCell="D79" sqref="D79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Sì</v>
      </c>
      <c r="D23" s="3">
        <v>1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09" zoomScale="66" workbookViewId="0">
      <selection activeCell="D128" sqref="D128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Sì</v>
      </c>
      <c r="D34" s="8">
        <v>1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Sì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1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abSelected="1" topLeftCell="A45" zoomScale="64" workbookViewId="0">
      <selection activeCell="D56" sqref="D56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3</v>
      </c>
      <c r="E20" s="3">
        <f t="shared" si="0"/>
        <v>0.81818181818181812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3</v>
      </c>
      <c r="E21" s="3">
        <f t="shared" si="0"/>
        <v>0.81818181818181812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3</v>
      </c>
      <c r="E22" s="3">
        <f t="shared" si="0"/>
        <v>0.81818181818181812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0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5</v>
      </c>
      <c r="E25" s="3">
        <f t="shared" si="0"/>
        <v>0.63636363636363635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4</v>
      </c>
      <c r="E26" s="3">
        <f t="shared" si="0"/>
        <v>0.72727272727272729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5</v>
      </c>
      <c r="E27" s="3">
        <f t="shared" si="0"/>
        <v>0.63636363636363635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5</v>
      </c>
      <c r="E28" s="3">
        <f t="shared" si="0"/>
        <v>0.63636363636363635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0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4</v>
      </c>
      <c r="E30" s="3">
        <f t="shared" si="0"/>
        <v>0.72727272727272729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5</v>
      </c>
      <c r="E31" s="3">
        <f t="shared" si="0"/>
        <v>0.63636363636363635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0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4</v>
      </c>
      <c r="E33" s="3">
        <f t="shared" si="0"/>
        <v>0.72727272727272729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5</v>
      </c>
      <c r="E34" s="3">
        <f t="shared" si="0"/>
        <v>0.63636363636363635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3</v>
      </c>
      <c r="E38" s="3">
        <f t="shared" si="0"/>
        <v>0.81818181818181812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3</v>
      </c>
      <c r="E39" s="3">
        <f t="shared" si="0"/>
        <v>0.81818181818181812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3</v>
      </c>
      <c r="E40" s="3">
        <f t="shared" si="0"/>
        <v>0.81818181818181812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3</v>
      </c>
      <c r="E41" s="3">
        <f t="shared" si="0"/>
        <v>0.81818181818181812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3</v>
      </c>
      <c r="E42" s="3">
        <f t="shared" si="0"/>
        <v>0.81818181818181812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3</v>
      </c>
      <c r="E43" s="3">
        <f t="shared" si="0"/>
        <v>0.81818181818181812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0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4</v>
      </c>
      <c r="E48" s="3">
        <f t="shared" si="0"/>
        <v>0.72727272727272729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5</v>
      </c>
      <c r="E49" s="3">
        <f t="shared" si="0"/>
        <v>0.63636363636363635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0.72332015810276695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0.36166007905138348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2025-10-11T10:40:43Z</dcterms:modified>
</cp:coreProperties>
</file>