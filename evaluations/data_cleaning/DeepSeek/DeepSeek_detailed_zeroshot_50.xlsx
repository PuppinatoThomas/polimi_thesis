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"/>
    </mc:Choice>
  </mc:AlternateContent>
  <xr:revisionPtr revIDLastSave="0" documentId="13_ncr:1_{04F1B5EA-DCB2-439F-B7F1-FE095DCCDCD3}" xr6:coauthVersionLast="47" xr6:coauthVersionMax="47" xr10:uidLastSave="{00000000-0000-0000-0000-000000000000}"/>
  <bookViews>
    <workbookView xWindow="-110" yWindow="-110" windowWidth="19420" windowHeight="10420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1" i="2"/>
  <c r="C134" i="2" s="1"/>
  <c r="C130" i="2"/>
  <c r="H131" i="2"/>
  <c r="I131" i="2" s="1"/>
  <c r="G131" i="2"/>
  <c r="H130" i="2"/>
  <c r="G130" i="2"/>
  <c r="I130" i="2" s="1"/>
  <c r="G132" i="2"/>
  <c r="C8" i="2"/>
  <c r="C7" i="2"/>
  <c r="C6" i="2"/>
  <c r="C5" i="2"/>
  <c r="C4" i="2"/>
  <c r="C20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G4" i="2"/>
  <c r="C129" i="6"/>
  <c r="B132" i="6" s="1"/>
  <c r="C128" i="6"/>
  <c r="C127" i="6"/>
  <c r="C126" i="6"/>
  <c r="C78" i="4"/>
  <c r="B81" i="4" s="1"/>
  <c r="E5" i="5"/>
  <c r="E6" i="5"/>
  <c r="E7" i="5"/>
  <c r="E8" i="5"/>
  <c r="E4" i="5"/>
  <c r="C132" i="6" l="1"/>
  <c r="C81" i="4"/>
  <c r="G9" i="2"/>
  <c r="H9" i="2"/>
  <c r="H132" i="2"/>
  <c r="I132" i="2"/>
  <c r="B134" i="2" s="1"/>
  <c r="I4" i="2"/>
  <c r="I9" i="2" s="1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B137" i="2" s="1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4" l="1"/>
  <c r="B11" i="4"/>
  <c r="B84" i="4" s="1"/>
  <c r="C16" i="6"/>
  <c r="B16" i="6"/>
  <c r="B135" i="6" s="1"/>
  <c r="C11" i="5"/>
  <c r="B11" i="5"/>
  <c r="B58" i="5" s="1"/>
</calcChain>
</file>

<file path=xl/sharedStrings.xml><?xml version="1.0" encoding="utf-8"?>
<sst xmlns="http://schemas.openxmlformats.org/spreadsheetml/2006/main" count="1281" uniqueCount="241">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</sst>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abSelected="1" topLeftCell="A52" zoomScale="55" workbookViewId="0">
      <selection activeCell="B62" sqref="B62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1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0.875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1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0.86111111111111116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0.93402777777777779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opLeftCell="A57" zoomScale="66" workbookViewId="0">
      <selection activeCell="F132" sqref="F13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8</v>
      </c>
      <c r="E4" s="3">
        <v>2</v>
      </c>
      <c r="F4" s="3">
        <v>8</v>
      </c>
      <c r="G4">
        <f>IF(D4+E4=0, 0, D4/(D4+E4))</f>
        <v>0.8</v>
      </c>
      <c r="H4">
        <f>IF(D4+F4=0, 0, D4/(D4+F4))</f>
        <v>0.5</v>
      </c>
      <c r="I4" s="3">
        <f>IF(G4+H4=0, 0,(2*G4*H4)/(G4+H4))</f>
        <v>0.61538461538461542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9</v>
      </c>
      <c r="E5" s="3">
        <v>0</v>
      </c>
      <c r="F5" s="3">
        <v>0</v>
      </c>
      <c r="G5">
        <f t="shared" ref="G5:G8" si="0">IF(D5+E5=0, 0, D5/(D5+E5))</f>
        <v>1</v>
      </c>
      <c r="H5">
        <f t="shared" ref="H5:H8" si="1">IF(D5+F5=0, 0, D5/(D5+F5))</f>
        <v>1</v>
      </c>
      <c r="I5" s="3">
        <f t="shared" ref="I5:I8" si="2">IF(G5+H5=0, 0,(2*G5*H5)/(G5+H5))</f>
        <v>1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20</v>
      </c>
      <c r="E6" s="3">
        <v>0</v>
      </c>
      <c r="F6" s="3">
        <v>0</v>
      </c>
      <c r="G6">
        <f t="shared" si="0"/>
        <v>1</v>
      </c>
      <c r="H6">
        <f t="shared" si="1"/>
        <v>1</v>
      </c>
      <c r="I6" s="3">
        <f t="shared" si="2"/>
        <v>1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11</v>
      </c>
      <c r="E7" s="3">
        <v>0</v>
      </c>
      <c r="F7" s="3">
        <v>0</v>
      </c>
      <c r="G7">
        <f t="shared" si="0"/>
        <v>1</v>
      </c>
      <c r="H7">
        <f t="shared" si="1"/>
        <v>1</v>
      </c>
      <c r="I7" s="3">
        <f t="shared" si="2"/>
        <v>1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7</v>
      </c>
      <c r="E8" s="3">
        <v>0</v>
      </c>
      <c r="F8" s="3">
        <v>23</v>
      </c>
      <c r="G8">
        <f t="shared" si="0"/>
        <v>1</v>
      </c>
      <c r="H8">
        <f t="shared" si="1"/>
        <v>0.23333333333333334</v>
      </c>
      <c r="I8" s="3">
        <f t="shared" si="2"/>
        <v>0.37837837837837834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0.96</v>
      </c>
      <c r="H9" s="4">
        <f>IFERROR(SUM(H4:H8)/COUNTIF(C4:C8, "Sì"), 0)</f>
        <v>0.7466666666666667</v>
      </c>
      <c r="I9" s="13">
        <f>IFERROR(SUM(I4:I8)/COUNTIF(C4:C8, "Sì"), 0)</f>
        <v>0.79875259875259874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230</v>
      </c>
      <c r="C13" s="3"/>
      <c r="D13" s="3"/>
    </row>
    <row r="14" spans="1:10" x14ac:dyDescent="0.4">
      <c r="A14" t="s">
        <v>1</v>
      </c>
      <c r="B14" s="2" t="s">
        <v>231</v>
      </c>
      <c r="C14" s="3"/>
      <c r="D14" s="3"/>
    </row>
    <row r="15" spans="1:10" x14ac:dyDescent="0.4">
      <c r="A15" t="s">
        <v>2</v>
      </c>
      <c r="B15" s="2" t="s">
        <v>232</v>
      </c>
      <c r="C15" s="3"/>
      <c r="D15" s="3"/>
    </row>
    <row r="16" spans="1:10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0.79875259875259874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Sì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Sì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0.85714285714285732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235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236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t="s">
        <v>236</v>
      </c>
      <c r="G51" s="6"/>
      <c r="I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t="s">
        <v>236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t="s">
        <v>236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236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236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236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1</v>
      </c>
      <c r="E57" s="6" t="s">
        <v>95</v>
      </c>
      <c r="F57" t="s">
        <v>236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236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1</v>
      </c>
      <c r="E59" s="6" t="s">
        <v>96</v>
      </c>
      <c r="F59" t="s">
        <v>236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236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1</v>
      </c>
      <c r="E61" s="6" t="s">
        <v>97</v>
      </c>
      <c r="F61" t="s">
        <v>236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237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237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237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237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237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237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238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238</v>
      </c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238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238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238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238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238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238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238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238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238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238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237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237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237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237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237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237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Sì</v>
      </c>
      <c r="D86" s="8">
        <v>1</v>
      </c>
      <c r="E86" s="6" t="s">
        <v>110</v>
      </c>
      <c r="F86" t="s">
        <v>236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Sì</v>
      </c>
      <c r="D87" s="8">
        <v>1</v>
      </c>
      <c r="E87" s="6" t="s">
        <v>110</v>
      </c>
      <c r="F87" t="s">
        <v>236</v>
      </c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t="s">
        <v>236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t="s">
        <v>236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236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236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236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1</v>
      </c>
      <c r="E93" s="6" t="s">
        <v>113</v>
      </c>
      <c r="F93" t="s">
        <v>236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236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236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236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236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239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239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239</v>
      </c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239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239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239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240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240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t="s">
        <v>240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t="s">
        <v>240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240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240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237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237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237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237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237</v>
      </c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237</v>
      </c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236</v>
      </c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236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236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236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t="s">
        <v>236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t="s">
        <v>236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0.90967741935483881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8</v>
      </c>
      <c r="E131" s="8">
        <v>0</v>
      </c>
      <c r="F131" s="8">
        <v>42</v>
      </c>
      <c r="G131" s="6">
        <f>IFERROR(D131/(D131+E131), 0)</f>
        <v>1</v>
      </c>
      <c r="H131" s="6">
        <f>IFERROR(D131/(D131+F131), 0)</f>
        <v>0.16</v>
      </c>
      <c r="I131">
        <f>IFERROR((2*G131*H131)/(G131+H131), 0)</f>
        <v>0.27586206896551729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0.16</v>
      </c>
      <c r="I132" s="15">
        <f>IFERROR((I130+I131)/COUNTIF(C130:C131, "Sì"), 0)</f>
        <v>0.27586206896551729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0.27586206896551729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0.71035873605395305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75" zoomScale="80" workbookViewId="0">
      <selection activeCell="C89" sqref="C89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Sì</v>
      </c>
      <c r="D23" s="3">
        <v>1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Sì</v>
      </c>
      <c r="D51" s="3">
        <v>1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6" zoomScale="38" workbookViewId="0">
      <selection activeCell="E144" sqref="E144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Sì</v>
      </c>
      <c r="D34" s="8">
        <v>1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Sì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Sì</v>
      </c>
      <c r="D82" s="8">
        <v>1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Sì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1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1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48" zoomScale="69" workbookViewId="0">
      <selection activeCell="C65" sqref="C65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 t="shared" si="0"/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2</v>
      </c>
      <c r="E17" s="3">
        <f t="shared" ref="E17:E52" si="1">1-((D17-1)/11)</f>
        <v>0.90909090909090906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1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6</v>
      </c>
      <c r="E19" s="3">
        <f t="shared" si="1"/>
        <v>0.54545454545454541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4</v>
      </c>
      <c r="E20" s="3">
        <f t="shared" si="1"/>
        <v>0.72727272727272729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4</v>
      </c>
      <c r="E21" s="3">
        <f t="shared" si="1"/>
        <v>0.72727272727272729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6</v>
      </c>
      <c r="E22" s="3">
        <f t="shared" si="1"/>
        <v>0.54545454545454541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1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5</v>
      </c>
      <c r="E24" s="3">
        <f t="shared" si="1"/>
        <v>0.63636363636363635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1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1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1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1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1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5</v>
      </c>
      <c r="E30" s="3">
        <f t="shared" si="1"/>
        <v>0.63636363636363635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1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1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5</v>
      </c>
      <c r="E33" s="3">
        <f t="shared" si="1"/>
        <v>0.63636363636363635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1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Sì</v>
      </c>
      <c r="D35" s="3">
        <v>4</v>
      </c>
      <c r="E35" s="3">
        <f t="shared" si="1"/>
        <v>0.72727272727272729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4</v>
      </c>
      <c r="E36" s="3">
        <f t="shared" si="1"/>
        <v>0.72727272727272729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6</v>
      </c>
      <c r="E37" s="3">
        <f t="shared" si="1"/>
        <v>0.54545454545454541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4</v>
      </c>
      <c r="E38" s="3">
        <f t="shared" si="1"/>
        <v>0.72727272727272729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4</v>
      </c>
      <c r="E39" s="3">
        <f t="shared" si="1"/>
        <v>0.72727272727272729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6</v>
      </c>
      <c r="E40" s="3">
        <f t="shared" si="1"/>
        <v>0.54545454545454541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4</v>
      </c>
      <c r="E41" s="3">
        <f t="shared" si="1"/>
        <v>0.72727272727272729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4</v>
      </c>
      <c r="E42" s="3">
        <f t="shared" si="1"/>
        <v>0.72727272727272729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6</v>
      </c>
      <c r="E43" s="3">
        <f t="shared" si="1"/>
        <v>0.54545454545454541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2</v>
      </c>
      <c r="E44" s="3">
        <f t="shared" si="1"/>
        <v>0.90909090909090906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1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6</v>
      </c>
      <c r="E46" s="3">
        <f t="shared" si="1"/>
        <v>0.54545454545454541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1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5</v>
      </c>
      <c r="E48" s="3">
        <f t="shared" si="1"/>
        <v>0.63636363636363635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1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1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0.65982404692082119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0.3299120234604106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75" zoomScaleNormal="140" workbookViewId="0">
      <selection activeCell="D7" sqref="D7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  <c r="C2" s="2"/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2025-10-25T17:29:23Z</dcterms:modified>
</cp:coreProperties>
</file>