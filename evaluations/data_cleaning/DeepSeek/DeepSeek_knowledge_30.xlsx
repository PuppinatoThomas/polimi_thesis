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"/>
    </mc:Choice>
  </mc:AlternateContent>
  <xr:revisionPtr revIDLastSave="0" documentId="13_ncr:1_{2B08A858-8796-4890-9110-F826117FD1A0}" xr6:coauthVersionLast="47" xr6:coauthVersionMax="47" xr10:uidLastSave="{00000000-0000-0000-0000-000000000000}"/>
  <bookViews>
    <workbookView xWindow="-110" yWindow="-110" windowWidth="19420" windowHeight="10420" activeTab="4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C8" i="2"/>
  <c r="C20" i="2" s="1"/>
  <c r="C7" i="2"/>
  <c r="C6" i="2"/>
  <c r="C5" i="2"/>
  <c r="C4" i="2"/>
  <c r="C131" i="2"/>
  <c r="C134" i="2" s="1"/>
  <c r="C130" i="2"/>
  <c r="H131" i="2"/>
  <c r="G131" i="2"/>
  <c r="H130" i="2"/>
  <c r="I130" i="2"/>
  <c r="H8" i="2"/>
  <c r="G8" i="2"/>
  <c r="H7" i="2"/>
  <c r="G7" i="2"/>
  <c r="H6" i="2"/>
  <c r="G6" i="2"/>
  <c r="H5" i="2"/>
  <c r="G5" i="2"/>
  <c r="H4" i="2"/>
  <c r="G4" i="2"/>
  <c r="C129" i="6"/>
  <c r="C128" i="6"/>
  <c r="C127" i="6"/>
  <c r="C126" i="6"/>
  <c r="C132" i="6" s="1"/>
  <c r="C78" i="4"/>
  <c r="E5" i="5"/>
  <c r="E6" i="5"/>
  <c r="E7" i="5"/>
  <c r="E8" i="5"/>
  <c r="E4" i="5"/>
  <c r="I131" i="2" l="1"/>
  <c r="I7" i="2"/>
  <c r="I6" i="2"/>
  <c r="I5" i="2"/>
  <c r="I4" i="2"/>
  <c r="G9" i="2"/>
  <c r="B132" i="6"/>
  <c r="I132" i="2"/>
  <c r="B134" i="2" s="1"/>
  <c r="H132" i="2"/>
  <c r="I8" i="2"/>
  <c r="I9" i="2" s="1"/>
  <c r="B20" i="2" s="1"/>
  <c r="G132" i="2"/>
  <c r="H9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B81" i="4" l="1"/>
  <c r="C81" i="4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B124" i="2" s="1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C120" i="6" l="1"/>
  <c r="B120" i="6"/>
  <c r="C55" i="5"/>
  <c r="B55" i="5"/>
  <c r="C124" i="2"/>
  <c r="B71" i="4"/>
  <c r="C71" i="4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B44" i="2" s="1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C44" i="2" l="1"/>
  <c r="B137" i="2" s="1"/>
  <c r="B40" i="6"/>
  <c r="C40" i="6"/>
  <c r="B27" i="4"/>
  <c r="C27" i="4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1" i="5" l="1"/>
  <c r="B11" i="5"/>
  <c r="B16" i="6"/>
  <c r="C16" i="6"/>
  <c r="B11" i="4"/>
  <c r="C11" i="4"/>
  <c r="B58" i="5" l="1"/>
  <c r="B135" i="6"/>
  <c r="B84" i="4"/>
</calcChain>
</file>

<file path=xl/sharedStrings.xml><?xml version="1.0" encoding="utf-8"?>
<sst xmlns="http://schemas.openxmlformats.org/spreadsheetml/2006/main" count="1192" uniqueCount="219">
  <si>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</si>
  <si>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</si>
  <si>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</si>
  <si>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</si>
  <si>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</si>
  <si>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</si>
  <si>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</si>
  <si>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</si>
  <si>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</si>
  <si>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</si>
  <si>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</si>
  <si>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</si>
  <si>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</si>
  <si>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</si>
  <si>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</si>
  <si>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</si>
  <si>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</si>
  <si>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</si>
  <si>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</si>
  <si>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</si>
  <si>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</si>
  <si>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</si>
  <si>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</si>
  <si>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</si>
  <si>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</si>
  <si>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</si>
  <si>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</si>
  <si>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</si>
  <si>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</si>
  <si>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</si>
  <si>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</si>
  <si>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</si>
  <si>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</si>
  <si>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</si>
  <si>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</si>
  <si>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</si>
  <si>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</si>
  <si>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</si>
  <si>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</si>
  <si>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</si>
  <si>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</si>
  <si>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</si>
  <si>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</si>
  <si>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</si>
  <si>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</si>
  <si>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</si>
  <si>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</si>
  <si>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</si>
  <si>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</si>
  <si>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</si>
  <si>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</si>
  <si>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</si>
  <si>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</si>
  <si>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</si>
  <si>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</si>
  <si>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</si>
  <si>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</si>
  <si>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</si>
  <si>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</si>
  <si>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</si>
  <si>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</si>
  <si>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</si>
  <si>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</si>
  <si>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</si>
  <si>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</si>
  <si>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</si>
  <si>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</si>
  <si>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</si>
  <si>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</si>
  <si>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</si>
  <si>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</si>
  <si>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</si>
  <si>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</si>
  <si>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</si>
  <si>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</si>
  <si>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</si>
  <si>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</si>
  <si>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</si>
  <si>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</si>
  <si>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</si>
  <si>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</si>
  <si>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</si>
  <si>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</si>
  <si>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</si>
  <si>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</si>
  <si>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</si>
  <si>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</si>
  <si>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</si>
  <si>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</si>
  <si>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</si>
  <si>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</si>
  <si>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</si>
  <si>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</si>
  <si>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</si>
  <si>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</si>
  <si>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</si>
  <si>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</si>
  <si>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</si>
  <si>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</si>
  <si>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</si>
  <si>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</si>
  <si>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</si>
  <si>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</si>
  <si>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</si>
  <si>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</si>
  <si>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</si>
  <si>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</si>
  <si>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</si>
  <si>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</si>
  <si>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</si>
  <si>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</si>
  <si>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</si>
  <si>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</si>
  <si>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</si>
  <si>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</si>
  <si>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</si>
  <si>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</si>
  <si>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</si>
  <si>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</si>
  <si>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</si>
  <si>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</si>
  <si>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</si>
  <si>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</si>
  <si>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</si>
  <si>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</si>
  <si>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</si>
  <si>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</si>
  <si>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</si>
  <si>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</si>
  <si>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</si>
  <si>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</si>
  <si>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</si>
  <si>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</si>
  <si>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</si>
  <si>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</si>
  <si>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</si>
  <si>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</si>
  <si>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</si>
  <si>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</si>
  <si>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</si>
  <si>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</si>
  <si>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</si>
  <si>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</si>
  <si>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</si>
  <si>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</si>
  <si>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</si>
  <si>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</si>
  <si>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</si>
  <si>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</si>
  <si>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</si>
  <si>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</si>
  <si>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</si>
  <si>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</si>
  <si>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</si>
  <si>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</si>
  <si>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</si>
  <si>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</si>
  <si>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</si>
  <si>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</si>
  <si>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</si>
  <si>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</si>
  <si>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</si>
  <si>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</si>
  <si>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</si>
  <si>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</si>
  <si>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</si>
  <si>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</si>
  <si>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</si>
  <si>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</si>
  <si>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</si>
  <si>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</si>
  <si>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</si>
  <si>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</si>
  <si>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</si>
  <si>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</si>
  <si>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</si>
  <si>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</si>
  <si>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</si>
  <si>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</si>
  <si>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</si>
  <si>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</si>
  <si>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</si>
  <si>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</si>
  <si>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</si>
  <si>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</si>
  <si>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</si>
  <si>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</si>
  <si>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3 - 9</t>
  </si>
  <si>
    <t>4 - 16 - 91</t>
  </si>
  <si>
    <t>5 - 45</t>
  </si>
  <si>
    <t>7 - 88 - 64</t>
  </si>
  <si>
    <t>10 - 35 - 47</t>
  </si>
  <si>
    <t>11 - 60</t>
  </si>
  <si>
    <t>12 - 82</t>
  </si>
  <si>
    <t>14 - 53</t>
  </si>
  <si>
    <t>15 - 65</t>
  </si>
  <si>
    <t>17 - 54 - 67</t>
  </si>
  <si>
    <t>18 - 86</t>
  </si>
  <si>
    <t>19 - 99</t>
  </si>
  <si>
    <t>22 - 79</t>
  </si>
  <si>
    <t>26 - 37</t>
  </si>
  <si>
    <t>29 - 40</t>
  </si>
  <si>
    <t>30 - 96</t>
  </si>
  <si>
    <t>31 - 52</t>
  </si>
  <si>
    <t>33 - 74</t>
  </si>
  <si>
    <t>42 - 70 - 92</t>
  </si>
  <si>
    <t>43 - 59</t>
  </si>
  <si>
    <t>44 - 61</t>
  </si>
  <si>
    <t>51 - 83</t>
  </si>
  <si>
    <t>55 - 69 - 77</t>
  </si>
  <si>
    <t>62 - 72</t>
  </si>
  <si>
    <t>menziona o fa l'exact matching</t>
  </si>
  <si>
    <t>menziona o fa il non-exact matching</t>
  </si>
  <si>
    <t>Completeness!B77</t>
  </si>
  <si>
    <t>898000.0, 898000.0, 949900.0, 999000.0, 1075000.0, 1075000.0, 2199000.0, 2365000.0, 9441500.0, 12312100.0</t>
  </si>
  <si>
    <t>1, 6, 6, 6, 7, 7, 7, 8, 8, 9, 9, 10, 11, 12</t>
  </si>
  <si>
    <t>5, 5, 5, 6, 8, 8, 8, 9, 9, 10, 10, 10, 12, 12</t>
  </si>
  <si>
    <t>0.59, 0.59, 0.7, 0.86, 0.9, 0.9, 1.04, 1.07, 2.12, 3.0, 6.69, 10.0, 10.0, 14.25, 27.59</t>
  </si>
  <si>
    <t>2.8, 11.0, 85.0, 87.0, 110.0, 140.0, 160.0, 160.0, 321.0, 4156.0, 4758.0, 8953.0, 10440.0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</si>
</sst>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62" zoomScale="64" workbookViewId="0">
      <selection activeCell="D78" sqref="D78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1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211</v>
      </c>
      <c r="C77" s="3" t="s">
        <v>182</v>
      </c>
      <c r="D77" s="3">
        <v>0</v>
      </c>
    </row>
    <row r="78" spans="1:4" x14ac:dyDescent="0.4">
      <c r="B78" t="s">
        <v>212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58"/>
  <sheetViews>
    <sheetView topLeftCell="A124" zoomScale="66" workbookViewId="0">
      <selection activeCell="D43" sqref="D43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Sì</v>
      </c>
      <c r="D4" s="3">
        <v>4</v>
      </c>
      <c r="E4" s="3">
        <v>0</v>
      </c>
      <c r="F4" s="3">
        <v>6</v>
      </c>
      <c r="G4">
        <f>IF(D4+E4=0, 0, D4/(D4+E4))</f>
        <v>1</v>
      </c>
      <c r="H4">
        <f>IF(D4+F4=0, 0, D4/(D4+F4))</f>
        <v>0.4</v>
      </c>
      <c r="I4" s="3">
        <f>IF(G4+H4=0, 0,(2*G4*H4)/(G4+H4))</f>
        <v>0.57142857142857151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Sì</v>
      </c>
      <c r="D5" s="3">
        <v>11</v>
      </c>
      <c r="E5" s="3">
        <v>0</v>
      </c>
      <c r="F5" s="3">
        <v>3</v>
      </c>
      <c r="G5">
        <f t="shared" ref="G5:G8" si="0">IF(D5+E5=0, 0, D5/(D5+E5))</f>
        <v>1</v>
      </c>
      <c r="H5">
        <f t="shared" ref="H5:H8" si="1">IF(D5+F5=0, 0, D5/(D5+F5))</f>
        <v>0.7857142857142857</v>
      </c>
      <c r="I5" s="3">
        <f t="shared" ref="I5:I8" si="2">IF(G5+H5=0, 0,(2*G5*H5)/(G5+H5))</f>
        <v>0.88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Sì</v>
      </c>
      <c r="D6" s="3">
        <v>10</v>
      </c>
      <c r="E6" s="3">
        <v>0</v>
      </c>
      <c r="F6" s="3">
        <v>4</v>
      </c>
      <c r="G6">
        <f t="shared" si="0"/>
        <v>1</v>
      </c>
      <c r="H6">
        <f t="shared" si="1"/>
        <v>0.7142857142857143</v>
      </c>
      <c r="I6" s="3">
        <f t="shared" si="2"/>
        <v>0.83333333333333326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Sì</v>
      </c>
      <c r="D7" s="3">
        <v>13</v>
      </c>
      <c r="E7" s="3">
        <v>0</v>
      </c>
      <c r="F7" s="3">
        <v>2</v>
      </c>
      <c r="G7">
        <f t="shared" si="0"/>
        <v>1</v>
      </c>
      <c r="H7">
        <f t="shared" si="1"/>
        <v>0.8666666666666667</v>
      </c>
      <c r="I7" s="3">
        <f t="shared" si="2"/>
        <v>0.9285714285714286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Sì</v>
      </c>
      <c r="D8" s="3">
        <v>5</v>
      </c>
      <c r="E8" s="3">
        <v>0</v>
      </c>
      <c r="F8" s="3">
        <v>8</v>
      </c>
      <c r="G8">
        <f t="shared" si="0"/>
        <v>1</v>
      </c>
      <c r="H8">
        <f t="shared" si="1"/>
        <v>0.38461538461538464</v>
      </c>
      <c r="I8" s="3">
        <f t="shared" si="2"/>
        <v>0.55555555555555558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1</v>
      </c>
      <c r="H9" s="4">
        <f>IFERROR(SUM(H4:H8)/COUNTIF(C4:C8, "Sì"), 0)</f>
        <v>0.63025641025641022</v>
      </c>
      <c r="I9" s="13">
        <f>IFERROR(SUM(I4:I8)/COUNTIF(C4:C8, "Sì"), 0)</f>
        <v>0.75377777777777788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214</v>
      </c>
      <c r="C13" s="3"/>
      <c r="D13" s="3"/>
    </row>
    <row r="14" spans="1:10" x14ac:dyDescent="0.4">
      <c r="A14" t="s">
        <v>1</v>
      </c>
      <c r="B14" s="2" t="s">
        <v>215</v>
      </c>
      <c r="C14" s="3"/>
      <c r="D14" s="3"/>
    </row>
    <row r="15" spans="1:10" x14ac:dyDescent="0.4">
      <c r="A15" t="s">
        <v>2</v>
      </c>
      <c r="B15" s="2" t="s">
        <v>216</v>
      </c>
      <c r="C15" s="3"/>
      <c r="D15" s="3"/>
    </row>
    <row r="16" spans="1:10" x14ac:dyDescent="0.4">
      <c r="A16" t="s">
        <v>3</v>
      </c>
      <c r="B16" s="2" t="s">
        <v>217</v>
      </c>
      <c r="C16" s="3"/>
      <c r="D16" s="3"/>
    </row>
    <row r="17" spans="1:12" x14ac:dyDescent="0.4">
      <c r="A17" t="s">
        <v>4</v>
      </c>
      <c r="B17" s="2" t="s">
        <v>218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0.75377777777777788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1.0000000000000002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s="6"/>
      <c r="G50" s="6"/>
      <c r="H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s="6"/>
      <c r="G51" s="6"/>
      <c r="H51" s="6" t="s">
        <v>82</v>
      </c>
      <c r="P51" s="7" t="str">
        <f t="shared" ref="P51:P114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s="6"/>
      <c r="G52" s="6"/>
      <c r="H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s="6"/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s="6"/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s="6"/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s="6"/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s="6"/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s="6"/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s="6"/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s="6"/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s="6"/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No</v>
      </c>
      <c r="D62" s="8">
        <v>0</v>
      </c>
      <c r="E62" s="6" t="s">
        <v>98</v>
      </c>
      <c r="F62" s="6"/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No</v>
      </c>
      <c r="D63" s="8">
        <v>0</v>
      </c>
      <c r="E63" s="6" t="s">
        <v>98</v>
      </c>
      <c r="F63" s="6"/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s="6"/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s="6"/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No</v>
      </c>
      <c r="D66" s="8">
        <v>0</v>
      </c>
      <c r="E66" s="6" t="s">
        <v>100</v>
      </c>
      <c r="F66" s="6"/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No</v>
      </c>
      <c r="D67" s="8">
        <v>0</v>
      </c>
      <c r="E67" s="6" t="s">
        <v>100</v>
      </c>
      <c r="F67" s="6"/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F68" s="6"/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F69" s="6"/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s="6"/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s="6"/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F72" s="6"/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F73" s="6"/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F74" s="6"/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F75" s="6"/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s="6"/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s="6"/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s="6"/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s="6"/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s="6"/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s="6"/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s="6"/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s="6"/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s="6"/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s="6"/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s="6"/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s="6"/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s="6"/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s="6"/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s="6"/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s="6"/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s="6"/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s="6"/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s="6"/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s="6"/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s="6"/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s="6"/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s="6"/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s="6"/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s="6"/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s="6"/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s="6"/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s="6"/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s="6"/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s="6"/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s="6"/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s="6"/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s="6"/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s="6"/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F110" s="6"/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F111" s="6"/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s="6"/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s="6"/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F114" s="6"/>
      <c r="G114" s="6"/>
      <c r="H114" s="6"/>
      <c r="P114" s="7" t="str">
        <f t="shared" si="4"/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F115" s="6"/>
      <c r="G115" s="6"/>
      <c r="H115" s="6"/>
      <c r="P115" s="7" t="str">
        <f t="shared" ref="P115:P121" si="5">IF(MOD(ROW(), 2)=0, "Pari", "Dispari")</f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s="6"/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s="6"/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s="6"/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s="6"/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s="6"/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s="6"/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</v>
      </c>
      <c r="C124" s="1" t="str">
        <f>IF(COUNTIF(C50:C121, "Sì")&gt;0, "Sì", "No")</f>
        <v>No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v>0</v>
      </c>
      <c r="H130" s="6">
        <f>IFERROR(D130/(D130+F130), 0)</f>
        <v>0</v>
      </c>
      <c r="I130">
        <f>IFERROR((2*G130*H130)/(G130+H130), 0)</f>
        <v>0</v>
      </c>
      <c r="J130" s="11" t="s">
        <v>213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2</v>
      </c>
      <c r="E131" s="8">
        <v>0</v>
      </c>
      <c r="F131" s="8">
        <v>28</v>
      </c>
      <c r="G131" s="6">
        <f>IFERROR(D131/(D131+E131), 0)</f>
        <v>1</v>
      </c>
      <c r="H131" s="6">
        <f>IFERROR(D131/(D131+F131), 0)</f>
        <v>6.6666666666666666E-2</v>
      </c>
      <c r="I131">
        <f>IFERROR((2*G131*H131)/(G131+H131), 0)</f>
        <v>0.125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6.6666666666666666E-2</v>
      </c>
      <c r="I132" s="15">
        <f>IFERROR((I130+I131)/COUNTIF(C130:C131, "Sì"), 0)</f>
        <v>0.125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0.125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0)</f>
        <v>0.6262592592592594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61" zoomScale="59" workbookViewId="0">
      <selection activeCell="D78" sqref="D78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1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1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1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1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No</v>
      </c>
      <c r="D39" s="3">
        <v>0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No</v>
      </c>
      <c r="D41" s="3">
        <v>0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0</v>
      </c>
      <c r="C71" s="1" t="str">
        <f>IF(COUNTIF(C33:C68, "Sì")&gt;0, "Sì", "No")</f>
        <v>No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213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0)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22" zoomScale="66" workbookViewId="0">
      <selection activeCell="B139" sqref="B139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1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1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0.80000000000000016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No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No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No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No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</v>
      </c>
      <c r="C120" s="1" t="str">
        <f>IF(COUNTIF(C46:C117, "Sì")&gt;0, "Sì", "No")</f>
        <v>No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213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213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0)</f>
        <v>0.80000000000000016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abSelected="1" topLeftCell="A6" zoomScale="64" workbookViewId="0">
      <selection activeCell="D10" sqref="D10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5</v>
      </c>
      <c r="E7" s="3">
        <f>1-((D7-1)/4)</f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1</v>
      </c>
      <c r="E8" s="3">
        <f>1-((D8-1)/4)</f>
        <v>1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0.2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0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0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0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0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0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0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No</v>
      </c>
      <c r="D23" s="3">
        <v>12</v>
      </c>
      <c r="E23" s="3">
        <f t="shared" si="0"/>
        <v>0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0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No</v>
      </c>
      <c r="D25" s="3">
        <v>12</v>
      </c>
      <c r="E25" s="3">
        <f t="shared" si="0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0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0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0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0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0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0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0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0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0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0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0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0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0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0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0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0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0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0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</v>
      </c>
      <c r="C55" s="1" t="str">
        <f>IF(COUNTIF(C17:C52, "Sì")&gt;0, "Sì", "No")</f>
        <v>No</v>
      </c>
      <c r="D55"/>
    </row>
    <row r="58" spans="1:6" x14ac:dyDescent="0.4">
      <c r="A58" s="4" t="s">
        <v>176</v>
      </c>
      <c r="B58">
        <f>IFERROR((B11+B55)/(COUNTIF(C11, "Sì")+COUNTIF(C55,"Sì")), "Non calcolabile")</f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2025-10-10T21:00:46Z</dcterms:modified>
</cp:coreProperties>
</file>