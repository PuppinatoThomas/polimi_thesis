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PycharmProjects\polimi-thesis\evaluations\data_cleaning\Dirty 30\DeepSeek\"/>
    </mc:Choice>
  </mc:AlternateContent>
  <xr:revisionPtr revIDLastSave="0" documentId="13_ncr:1_{933FBC2D-2C79-4040-ABB1-F6C3D5F46F67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5" l="1"/>
  <c r="E18" i="5"/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C8" i="2"/>
  <c r="C20" i="2" s="1"/>
  <c r="C7" i="2"/>
  <c r="C6" i="2"/>
  <c r="C5" i="2"/>
  <c r="C4" i="2"/>
  <c r="C131" i="2"/>
  <c r="C134" i="2" s="1"/>
  <c r="C130" i="2"/>
  <c r="I131" i="2"/>
  <c r="H131" i="2"/>
  <c r="G131" i="2"/>
  <c r="H130" i="2"/>
  <c r="G130" i="2"/>
  <c r="I130" i="2" s="1"/>
  <c r="H8" i="2"/>
  <c r="G8" i="2"/>
  <c r="I8" i="2" s="1"/>
  <c r="I7" i="2"/>
  <c r="H7" i="2"/>
  <c r="G7" i="2"/>
  <c r="H6" i="2"/>
  <c r="G6" i="2"/>
  <c r="I6" i="2" s="1"/>
  <c r="I5" i="2"/>
  <c r="H5" i="2"/>
  <c r="G5" i="2"/>
  <c r="H4" i="2"/>
  <c r="G4" i="2"/>
  <c r="I4" i="2" s="1"/>
  <c r="C129" i="6"/>
  <c r="C128" i="6"/>
  <c r="C132" i="6" s="1"/>
  <c r="C127" i="6"/>
  <c r="C126" i="6"/>
  <c r="C78" i="4"/>
  <c r="C81" i="4" s="1"/>
  <c r="E5" i="5"/>
  <c r="E6" i="5"/>
  <c r="E7" i="5"/>
  <c r="E8" i="5"/>
  <c r="E4" i="5"/>
  <c r="H132" i="2" l="1"/>
  <c r="B132" i="6"/>
  <c r="I132" i="2"/>
  <c r="B134" i="2" s="1"/>
  <c r="G9" i="2"/>
  <c r="G132" i="2"/>
  <c r="H9" i="2"/>
  <c r="I9" i="2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81" i="4" s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C24" i="5"/>
  <c r="E23" i="5"/>
  <c r="C23" i="5"/>
  <c r="E22" i="5"/>
  <c r="C22" i="5"/>
  <c r="E21" i="5"/>
  <c r="C21" i="5"/>
  <c r="E20" i="5"/>
  <c r="C20" i="5"/>
  <c r="E19" i="5"/>
  <c r="C19" i="5"/>
  <c r="C18" i="5"/>
  <c r="E17" i="5"/>
  <c r="C17" i="5"/>
  <c r="B55" i="5" l="1"/>
  <c r="C55" i="5"/>
  <c r="C124" i="2"/>
  <c r="B124" i="2"/>
  <c r="C120" i="6"/>
  <c r="B120" i="6"/>
  <c r="B71" i="4"/>
  <c r="C71" i="4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44" i="2" s="1"/>
  <c r="B27" i="1"/>
  <c r="C44" i="2" l="1"/>
  <c r="B137" i="2" s="1"/>
  <c r="C40" i="6"/>
  <c r="B40" i="6"/>
  <c r="B27" i="4"/>
  <c r="C27" i="4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1" i="5" l="1"/>
  <c r="C11" i="5"/>
  <c r="B16" i="6"/>
  <c r="C16" i="6"/>
  <c r="B135" i="6"/>
  <c r="B11" i="4"/>
  <c r="B84" i="4" s="1"/>
  <c r="C11" i="4"/>
  <c r="B58" i="5" l="1"/>
</calcChain>
</file>

<file path=xl/sharedStrings.xml><?xml version="1.0" encoding="utf-8"?>
<sst xmlns="http://schemas.openxmlformats.org/spreadsheetml/2006/main" count="1267" uniqueCount="227">
  <si>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</si>
  <si>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</si>
  <si>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</si>
  <si>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</si>
  <si>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</si>
  <si>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</si>
  <si>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</si>
  <si>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</si>
  <si>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</si>
  <si>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</si>
  <si>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</si>
  <si>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</si>
  <si>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</si>
  <si>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</si>
  <si>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</si>
  <si>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</si>
  <si>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</si>
  <si>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</si>
  <si>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</si>
  <si>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</si>
  <si>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</si>
  <si>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</si>
  <si>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</si>
  <si>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</si>
  <si>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</si>
  <si>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</si>
  <si>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</si>
  <si>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</si>
  <si>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</si>
  <si>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</si>
  <si>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</si>
  <si>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</si>
  <si>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</si>
  <si>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</si>
  <si>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</si>
  <si>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</si>
  <si>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</si>
  <si>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</si>
  <si>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</si>
  <si>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</si>
  <si>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</si>
  <si>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</si>
  <si>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</si>
  <si>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</si>
  <si>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</si>
  <si>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</si>
  <si>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</si>
  <si>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</si>
  <si>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</si>
  <si>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</si>
  <si>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</si>
  <si>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</si>
  <si>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</si>
  <si>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</si>
  <si>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</si>
  <si>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</si>
  <si>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</si>
  <si>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</si>
  <si>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</si>
  <si>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</si>
  <si>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</si>
  <si>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</si>
  <si>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</si>
  <si>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</si>
  <si>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</si>
  <si>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</si>
  <si>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</si>
  <si>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</si>
  <si>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</si>
  <si>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</si>
  <si>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</si>
  <si>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</si>
  <si>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</si>
  <si>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</si>
  <si>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</si>
  <si>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</si>
  <si>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</si>
  <si>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</si>
  <si>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</si>
  <si>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</si>
  <si>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</si>
  <si>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</si>
  <si>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</si>
  <si>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</si>
  <si>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</si>
  <si>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</si>
  <si>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</si>
  <si>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</si>
  <si>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</si>
  <si>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</si>
  <si>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</si>
  <si>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</si>
  <si>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</si>
  <si>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</si>
  <si>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</si>
  <si>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</si>
  <si>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</si>
  <si>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</si>
  <si>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</si>
  <si>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</si>
  <si>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</si>
  <si>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</si>
  <si>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</si>
  <si>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</si>
  <si>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</si>
  <si>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</si>
  <si>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</si>
  <si>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</si>
  <si>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</si>
  <si>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</si>
  <si>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</si>
  <si>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</si>
  <si>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</si>
  <si>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</si>
  <si>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</si>
  <si>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</si>
  <si>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</si>
  <si>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</si>
  <si>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</si>
  <si>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</si>
  <si>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</si>
  <si>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</si>
  <si>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</si>
  <si>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</si>
  <si>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</si>
  <si>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</si>
  <si>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</si>
  <si>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</si>
  <si>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</si>
  <si>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</si>
  <si>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</si>
  <si>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</si>
  <si>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</si>
  <si>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</si>
  <si>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</si>
  <si>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</si>
  <si>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</si>
  <si>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</si>
  <si>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</si>
  <si>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</si>
  <si>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</si>
  <si>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</si>
  <si>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</si>
  <si>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</si>
  <si>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</si>
  <si>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</si>
  <si>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</si>
  <si>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</si>
  <si>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</si>
  <si>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</si>
  <si>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</si>
  <si>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</si>
  <si>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</si>
  <si>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</si>
  <si>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</si>
  <si>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</si>
  <si>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</si>
  <si>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</si>
  <si>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</si>
  <si>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</si>
  <si>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</si>
  <si>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</si>
  <si>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</si>
  <si>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</si>
  <si>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</si>
  <si>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</si>
  <si>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</si>
  <si>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</si>
  <si>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</si>
  <si>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</si>
  <si>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</si>
  <si>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</si>
  <si>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</si>
  <si>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</si>
  <si>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</si>
  <si>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</si>
  <si>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</si>
  <si>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</si>
  <si>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</si>
  <si>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</si>
  <si>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</si>
  <si>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</si>
  <si>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</si>
  <si>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</si>
  <si>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</si>
  <si>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</si>
  <si>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</si>
  <si>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3 - 9</t>
  </si>
  <si>
    <t>4 - 16 - 91</t>
  </si>
  <si>
    <t>5 - 45</t>
  </si>
  <si>
    <t>7 - 88 - 64</t>
  </si>
  <si>
    <t>10 - 35 - 47</t>
  </si>
  <si>
    <t>11 - 60</t>
  </si>
  <si>
    <t>12 - 82</t>
  </si>
  <si>
    <t>14 - 53</t>
  </si>
  <si>
    <t>15 - 65</t>
  </si>
  <si>
    <t>17 - 54 - 67</t>
  </si>
  <si>
    <t>18 - 86</t>
  </si>
  <si>
    <t>19 - 99</t>
  </si>
  <si>
    <t>22 - 79</t>
  </si>
  <si>
    <t>26 - 37</t>
  </si>
  <si>
    <t>29 - 40</t>
  </si>
  <si>
    <t>30 - 96</t>
  </si>
  <si>
    <t>31 - 52</t>
  </si>
  <si>
    <t>33 - 74</t>
  </si>
  <si>
    <t>42 - 70 - 92</t>
  </si>
  <si>
    <t>43 - 59</t>
  </si>
  <si>
    <t>44 - 61</t>
  </si>
  <si>
    <t>51 - 83</t>
  </si>
  <si>
    <t>55 - 69 - 77</t>
  </si>
  <si>
    <t>62 - 72</t>
  </si>
  <si>
    <t>menziona o fa l'exact matching</t>
  </si>
  <si>
    <t>menziona o fa il non-exact matching</t>
  </si>
  <si>
    <t>Completeness!B77</t>
  </si>
  <si>
    <t>898000.0, 898000.0, 949900.0, 999000.0, 1075000.0, 1075000.0, 2199000.0, 2365000.0, 9441500.0, 12312100.0</t>
  </si>
  <si>
    <t>1, 6, 6, 6, 7, 7, 7, 8, 8, 9, 9, 10, 11, 12</t>
  </si>
  <si>
    <t>5, 5, 5, 6, 8, 8, 8, 9, 9, 10, 10, 10, 12, 12</t>
  </si>
  <si>
    <t>0.59, 0.59, 0.7, 0.86, 0.9, 0.9, 1.04, 1.07, 2.12, 3.0, 6.69, 10.0, 10.0, 14.25, 27.59</t>
  </si>
  <si>
    <t>2.8, 11.0, 85.0, 87.0, 110.0, 140.0, 160.0, 160.0, 321.0, 4156.0, 4758.0, 8953.0, 10440.0</t>
  </si>
  <si>
    <t>Viene solo menzionato</t>
  </si>
  <si>
    <t>commento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</si>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</sst>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E84"/>
  <sheetViews>
    <sheetView topLeftCell="A49" zoomScale="70" workbookViewId="0">
      <selection activeCell="D62" sqref="D62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0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0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0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0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0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0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0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0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0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0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0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0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0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0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0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0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0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0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0</v>
      </c>
    </row>
    <row r="65" spans="1:5" x14ac:dyDescent="0.4">
      <c r="A65" s="10" t="s">
        <v>4</v>
      </c>
      <c r="B65" s="6" t="s">
        <v>73</v>
      </c>
      <c r="C65" s="8" t="s">
        <v>10</v>
      </c>
      <c r="D65" s="8">
        <v>0</v>
      </c>
    </row>
    <row r="66" spans="1:5" x14ac:dyDescent="0.4">
      <c r="A66" s="10" t="s">
        <v>51</v>
      </c>
      <c r="B66" s="6" t="s">
        <v>74</v>
      </c>
      <c r="C66" s="8" t="s">
        <v>10</v>
      </c>
      <c r="D66" s="8">
        <v>0</v>
      </c>
    </row>
    <row r="67" spans="1:5" x14ac:dyDescent="0.4">
      <c r="A67" s="10" t="s">
        <v>51</v>
      </c>
      <c r="B67" s="6" t="s">
        <v>75</v>
      </c>
      <c r="C67" s="8" t="s">
        <v>10</v>
      </c>
      <c r="D67" s="8">
        <v>0</v>
      </c>
    </row>
    <row r="68" spans="1:5" x14ac:dyDescent="0.4">
      <c r="A68" s="10" t="s">
        <v>51</v>
      </c>
      <c r="B68" s="6" t="s">
        <v>73</v>
      </c>
      <c r="C68" s="8" t="s">
        <v>10</v>
      </c>
      <c r="D68" s="8">
        <v>0</v>
      </c>
    </row>
    <row r="69" spans="1:5" x14ac:dyDescent="0.4">
      <c r="A69" s="6"/>
      <c r="B69" s="6"/>
      <c r="C69" s="8"/>
      <c r="D69" s="6"/>
    </row>
    <row r="70" spans="1:5" x14ac:dyDescent="0.4">
      <c r="A70" s="6"/>
      <c r="B70" s="6"/>
      <c r="C70" s="8"/>
      <c r="D70" s="6"/>
    </row>
    <row r="71" spans="1:5" x14ac:dyDescent="0.4">
      <c r="A71" s="9" t="s">
        <v>78</v>
      </c>
      <c r="B71" s="6">
        <f>SUM(D33:D68)/COUNTA(C33:C68)</f>
        <v>0.3611111111111111</v>
      </c>
      <c r="C71" s="8"/>
      <c r="D71" s="6"/>
    </row>
    <row r="74" spans="1:5" x14ac:dyDescent="0.4">
      <c r="A74" s="4" t="s">
        <v>149</v>
      </c>
    </row>
    <row r="76" spans="1:5" x14ac:dyDescent="0.4">
      <c r="B76" s="6" t="s">
        <v>6</v>
      </c>
      <c r="C76" s="6" t="s">
        <v>7</v>
      </c>
      <c r="D76" s="6" t="s">
        <v>8</v>
      </c>
      <c r="E76" s="6" t="s">
        <v>220</v>
      </c>
    </row>
    <row r="77" spans="1:5" x14ac:dyDescent="0.4">
      <c r="B77" t="s">
        <v>211</v>
      </c>
      <c r="C77" s="3" t="s">
        <v>182</v>
      </c>
      <c r="D77" s="3">
        <v>0</v>
      </c>
    </row>
    <row r="78" spans="1:5" x14ac:dyDescent="0.4">
      <c r="B78" t="s">
        <v>212</v>
      </c>
      <c r="C78" s="3" t="s">
        <v>10</v>
      </c>
      <c r="D78" s="3">
        <v>0</v>
      </c>
      <c r="E78" t="s">
        <v>219</v>
      </c>
    </row>
    <row r="79" spans="1:5" x14ac:dyDescent="0.4">
      <c r="B79" s="6"/>
      <c r="C79" s="8"/>
      <c r="D79" s="8"/>
    </row>
    <row r="80" spans="1:5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0.27777777777777779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58"/>
  <sheetViews>
    <sheetView topLeftCell="A114" zoomScale="73" workbookViewId="0">
      <selection activeCell="D105" sqref="D105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No</v>
      </c>
      <c r="D4" s="3">
        <v>0</v>
      </c>
      <c r="E4" s="3">
        <v>0</v>
      </c>
      <c r="F4" s="3">
        <v>0</v>
      </c>
      <c r="G4">
        <f>IF(D4+E4=0, 0, D4/(D4+E4))</f>
        <v>0</v>
      </c>
      <c r="H4">
        <f>IF(D4+F4=0, 0, D4/(D4+F4))</f>
        <v>0</v>
      </c>
      <c r="I4" s="3">
        <f>IF(G4+H4=0, 0,(2*G4*H4)/(G4+H4))</f>
        <v>0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</v>
      </c>
      <c r="H9" s="4">
        <f>IFERROR(SUM(H4:H8)/COUNTIF(C4:C8, "Sì"), 0)</f>
        <v>0</v>
      </c>
      <c r="I9" s="13">
        <f>IFERROR(SUM(I4:I8)/COUNTIF(C4:C8, "Sì"), 0)</f>
        <v>0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214</v>
      </c>
      <c r="C13" s="3"/>
      <c r="D13" s="3"/>
    </row>
    <row r="14" spans="1:10" x14ac:dyDescent="0.4">
      <c r="A14" t="s">
        <v>1</v>
      </c>
      <c r="B14" s="2" t="s">
        <v>215</v>
      </c>
      <c r="C14" s="3"/>
      <c r="D14" s="3"/>
    </row>
    <row r="15" spans="1:10" x14ac:dyDescent="0.4">
      <c r="A15" t="s">
        <v>2</v>
      </c>
      <c r="B15" s="2" t="s">
        <v>216</v>
      </c>
      <c r="C15" s="3"/>
      <c r="D15" s="3"/>
    </row>
    <row r="16" spans="1:10" x14ac:dyDescent="0.4">
      <c r="A16" t="s">
        <v>3</v>
      </c>
      <c r="B16" s="2" t="s">
        <v>217</v>
      </c>
      <c r="C16" s="3"/>
      <c r="D16" s="3"/>
    </row>
    <row r="17" spans="1:12" x14ac:dyDescent="0.4">
      <c r="A17" t="s">
        <v>4</v>
      </c>
      <c r="B17" s="2" t="s">
        <v>218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</v>
      </c>
      <c r="C20" s="1" t="str">
        <f>IF(COUNTIF(C4:C8, "Sì")&gt;0, "Sì", "No")</f>
        <v>No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  <c r="F46" s="6" t="s">
        <v>80</v>
      </c>
    </row>
    <row r="47" spans="1:12" x14ac:dyDescent="0.4">
      <c r="A47" s="4" t="s">
        <v>68</v>
      </c>
      <c r="D47" s="3"/>
      <c r="F47" s="6" t="s">
        <v>82</v>
      </c>
    </row>
    <row r="48" spans="1:12" x14ac:dyDescent="0.4">
      <c r="D48" s="3"/>
      <c r="F48" s="6" t="s">
        <v>84</v>
      </c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G49" t="s">
        <v>221</v>
      </c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G50" t="s">
        <v>222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G51" t="s">
        <v>222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G52" t="s">
        <v>222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G53" t="s">
        <v>222</v>
      </c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G54" t="s">
        <v>222</v>
      </c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G55" t="s">
        <v>222</v>
      </c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No</v>
      </c>
      <c r="D56" s="8">
        <v>0</v>
      </c>
      <c r="E56" s="6" t="s">
        <v>95</v>
      </c>
      <c r="G56" t="s">
        <v>222</v>
      </c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No</v>
      </c>
      <c r="D57" s="8">
        <v>0</v>
      </c>
      <c r="E57" s="6" t="s">
        <v>95</v>
      </c>
      <c r="G57" t="s">
        <v>222</v>
      </c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G58" t="s">
        <v>222</v>
      </c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G59" t="s">
        <v>222</v>
      </c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No</v>
      </c>
      <c r="D60" s="8">
        <v>0</v>
      </c>
      <c r="E60" s="6" t="s">
        <v>97</v>
      </c>
      <c r="G60" t="s">
        <v>222</v>
      </c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No</v>
      </c>
      <c r="D61" s="8">
        <v>0</v>
      </c>
      <c r="E61" s="6" t="s">
        <v>97</v>
      </c>
      <c r="G61" t="s">
        <v>222</v>
      </c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No</v>
      </c>
      <c r="D62" s="8">
        <v>0</v>
      </c>
      <c r="E62" s="6" t="s">
        <v>98</v>
      </c>
      <c r="G62" t="s">
        <v>223</v>
      </c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No</v>
      </c>
      <c r="D63" s="8">
        <v>0</v>
      </c>
      <c r="E63" s="6" t="s">
        <v>98</v>
      </c>
      <c r="G63" t="s">
        <v>223</v>
      </c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No</v>
      </c>
      <c r="D64" s="8">
        <v>0</v>
      </c>
      <c r="E64" s="6" t="s">
        <v>99</v>
      </c>
      <c r="G64" t="s">
        <v>223</v>
      </c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No</v>
      </c>
      <c r="D65" s="8">
        <v>0</v>
      </c>
      <c r="E65" s="6" t="s">
        <v>99</v>
      </c>
      <c r="G65" t="s">
        <v>223</v>
      </c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No</v>
      </c>
      <c r="D66" s="8">
        <v>0</v>
      </c>
      <c r="E66" s="6" t="s">
        <v>100</v>
      </c>
      <c r="G66" t="s">
        <v>223</v>
      </c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No</v>
      </c>
      <c r="D67" s="8">
        <v>0</v>
      </c>
      <c r="E67" s="6" t="s">
        <v>100</v>
      </c>
      <c r="G67" t="s">
        <v>223</v>
      </c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No</v>
      </c>
      <c r="D68" s="8">
        <v>0</v>
      </c>
      <c r="E68" s="6" t="s">
        <v>101</v>
      </c>
      <c r="G68" t="s">
        <v>224</v>
      </c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No</v>
      </c>
      <c r="D69" s="8">
        <v>0</v>
      </c>
      <c r="E69" s="6" t="s">
        <v>101</v>
      </c>
      <c r="G69" t="s">
        <v>224</v>
      </c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No</v>
      </c>
      <c r="D70" s="8">
        <v>0</v>
      </c>
      <c r="E70" s="6" t="s">
        <v>102</v>
      </c>
      <c r="G70" t="s">
        <v>224</v>
      </c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No</v>
      </c>
      <c r="D71" s="8">
        <v>0</v>
      </c>
      <c r="E71" s="6" t="s">
        <v>102</v>
      </c>
      <c r="G71" t="s">
        <v>224</v>
      </c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No</v>
      </c>
      <c r="D72" s="8">
        <v>0</v>
      </c>
      <c r="E72" s="6" t="s">
        <v>103</v>
      </c>
      <c r="G72" t="s">
        <v>224</v>
      </c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No</v>
      </c>
      <c r="D73" s="8">
        <v>0</v>
      </c>
      <c r="E73" s="6" t="s">
        <v>103</v>
      </c>
      <c r="G73" t="s">
        <v>224</v>
      </c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No</v>
      </c>
      <c r="D74" s="8">
        <v>0</v>
      </c>
      <c r="E74" s="6" t="s">
        <v>104</v>
      </c>
      <c r="G74" t="s">
        <v>224</v>
      </c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No</v>
      </c>
      <c r="D75" s="8">
        <v>0</v>
      </c>
      <c r="E75" s="6" t="s">
        <v>104</v>
      </c>
      <c r="G75" t="s">
        <v>224</v>
      </c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No</v>
      </c>
      <c r="D76" s="8">
        <v>0</v>
      </c>
      <c r="E76" s="6" t="s">
        <v>105</v>
      </c>
      <c r="G76" t="s">
        <v>224</v>
      </c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No</v>
      </c>
      <c r="D77" s="8">
        <v>0</v>
      </c>
      <c r="E77" s="6" t="s">
        <v>105</v>
      </c>
      <c r="G77" t="s">
        <v>224</v>
      </c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No</v>
      </c>
      <c r="D78" s="8">
        <v>0</v>
      </c>
      <c r="E78" s="6" t="s">
        <v>106</v>
      </c>
      <c r="G78" t="s">
        <v>224</v>
      </c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No</v>
      </c>
      <c r="D79" s="8">
        <v>0</v>
      </c>
      <c r="E79" s="6" t="s">
        <v>106</v>
      </c>
      <c r="G79" t="s">
        <v>224</v>
      </c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No</v>
      </c>
      <c r="D80" s="8">
        <v>0</v>
      </c>
      <c r="E80" s="6" t="s">
        <v>107</v>
      </c>
      <c r="G80" t="s">
        <v>223</v>
      </c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No</v>
      </c>
      <c r="D81" s="8">
        <v>0</v>
      </c>
      <c r="E81" s="6" t="s">
        <v>107</v>
      </c>
      <c r="G81" t="s">
        <v>223</v>
      </c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No</v>
      </c>
      <c r="D82" s="8">
        <v>0</v>
      </c>
      <c r="E82" s="6" t="s">
        <v>108</v>
      </c>
      <c r="G82" t="s">
        <v>223</v>
      </c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No</v>
      </c>
      <c r="D83" s="8">
        <v>0</v>
      </c>
      <c r="E83" s="6" t="s">
        <v>108</v>
      </c>
      <c r="G83" t="s">
        <v>223</v>
      </c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No</v>
      </c>
      <c r="D84" s="8">
        <v>0</v>
      </c>
      <c r="E84" s="6" t="s">
        <v>109</v>
      </c>
      <c r="G84" t="s">
        <v>223</v>
      </c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No</v>
      </c>
      <c r="D85" s="8">
        <v>0</v>
      </c>
      <c r="E85" s="6" t="s">
        <v>109</v>
      </c>
      <c r="G85" t="s">
        <v>223</v>
      </c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G86" t="s">
        <v>222</v>
      </c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G87" t="s">
        <v>222</v>
      </c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G88" t="s">
        <v>222</v>
      </c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G89" t="s">
        <v>222</v>
      </c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G90" t="s">
        <v>222</v>
      </c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G91" t="s">
        <v>222</v>
      </c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No</v>
      </c>
      <c r="D92" s="8">
        <v>0</v>
      </c>
      <c r="E92" s="6" t="s">
        <v>113</v>
      </c>
      <c r="G92" t="s">
        <v>222</v>
      </c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No</v>
      </c>
      <c r="D93" s="8">
        <v>0</v>
      </c>
      <c r="E93" s="6" t="s">
        <v>113</v>
      </c>
      <c r="G93" t="s">
        <v>222</v>
      </c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G94" t="s">
        <v>222</v>
      </c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G95" t="s">
        <v>222</v>
      </c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G96" t="s">
        <v>222</v>
      </c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G97" t="s">
        <v>222</v>
      </c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No</v>
      </c>
      <c r="D98" s="8">
        <v>0</v>
      </c>
      <c r="E98" s="6" t="s">
        <v>116</v>
      </c>
      <c r="G98" t="s">
        <v>225</v>
      </c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No</v>
      </c>
      <c r="D99" s="8">
        <v>0</v>
      </c>
      <c r="E99" s="6" t="s">
        <v>116</v>
      </c>
      <c r="G99" t="s">
        <v>225</v>
      </c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G100" t="s">
        <v>225</v>
      </c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G101" t="s">
        <v>225</v>
      </c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G102" t="s">
        <v>225</v>
      </c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G103" t="s">
        <v>225</v>
      </c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G104" t="s">
        <v>226</v>
      </c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G105" t="s">
        <v>226</v>
      </c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G106" t="s">
        <v>226</v>
      </c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G107" t="s">
        <v>226</v>
      </c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G108" t="s">
        <v>226</v>
      </c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G109" t="s">
        <v>226</v>
      </c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No</v>
      </c>
      <c r="D110" s="8">
        <v>0</v>
      </c>
      <c r="E110" s="6" t="s">
        <v>122</v>
      </c>
      <c r="G110" t="s">
        <v>223</v>
      </c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No</v>
      </c>
      <c r="D111" s="8">
        <v>0</v>
      </c>
      <c r="E111" s="6" t="s">
        <v>122</v>
      </c>
      <c r="G111" t="s">
        <v>223</v>
      </c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No</v>
      </c>
      <c r="D112" s="8">
        <v>0</v>
      </c>
      <c r="E112" s="6" t="s">
        <v>123</v>
      </c>
      <c r="G112" t="s">
        <v>223</v>
      </c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No</v>
      </c>
      <c r="D113" s="8">
        <v>0</v>
      </c>
      <c r="E113" s="6" t="s">
        <v>123</v>
      </c>
      <c r="G113" t="s">
        <v>223</v>
      </c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No</v>
      </c>
      <c r="D114" s="8">
        <v>0</v>
      </c>
      <c r="E114" s="6" t="s">
        <v>124</v>
      </c>
      <c r="G114" t="s">
        <v>223</v>
      </c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No</v>
      </c>
      <c r="D115" s="8">
        <v>0</v>
      </c>
      <c r="E115" s="6" t="s">
        <v>124</v>
      </c>
      <c r="G115" t="s">
        <v>223</v>
      </c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No</v>
      </c>
      <c r="D116" s="8">
        <v>0</v>
      </c>
      <c r="E116" s="6" t="s">
        <v>125</v>
      </c>
      <c r="G116" t="s">
        <v>222</v>
      </c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No</v>
      </c>
      <c r="D117" s="8">
        <v>0</v>
      </c>
      <c r="E117" s="6" t="s">
        <v>125</v>
      </c>
      <c r="G117" t="s">
        <v>222</v>
      </c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No</v>
      </c>
      <c r="D118" s="8">
        <v>0</v>
      </c>
      <c r="E118" s="6" t="s">
        <v>126</v>
      </c>
      <c r="G118" t="s">
        <v>222</v>
      </c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No</v>
      </c>
      <c r="D119" s="8">
        <v>0</v>
      </c>
      <c r="E119" s="6" t="s">
        <v>126</v>
      </c>
      <c r="G119" t="s">
        <v>222</v>
      </c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No</v>
      </c>
      <c r="D120" s="8">
        <v>0</v>
      </c>
      <c r="E120" s="6" t="s">
        <v>127</v>
      </c>
      <c r="G120" t="s">
        <v>222</v>
      </c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No</v>
      </c>
      <c r="D121" s="8">
        <v>0</v>
      </c>
      <c r="E121" s="6" t="s">
        <v>127</v>
      </c>
      <c r="G121" t="s">
        <v>222</v>
      </c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0.92307692307692313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213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0)</f>
        <v>0.96153846153846168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4" zoomScale="65" workbookViewId="0">
      <selection activeCell="D60" sqref="D60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No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No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1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1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No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No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No</v>
      </c>
      <c r="D39" s="3">
        <v>0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No</v>
      </c>
      <c r="D40" s="3">
        <v>0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No</v>
      </c>
      <c r="D41" s="3">
        <v>0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No</v>
      </c>
      <c r="D42" s="3">
        <v>0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No</v>
      </c>
      <c r="D43" s="3">
        <v>0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No</v>
      </c>
      <c r="D44" s="3">
        <v>0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No</v>
      </c>
      <c r="D45" s="3">
        <v>0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No</v>
      </c>
      <c r="D46" s="3">
        <v>0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No</v>
      </c>
      <c r="D47" s="3">
        <v>0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No</v>
      </c>
      <c r="D48" s="3">
        <v>0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No</v>
      </c>
      <c r="D49" s="3">
        <v>0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No</v>
      </c>
      <c r="D50" s="3">
        <v>0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No</v>
      </c>
      <c r="D54" s="3">
        <v>0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No</v>
      </c>
      <c r="D57" s="3">
        <v>0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No</v>
      </c>
      <c r="D63" s="3">
        <v>0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No</v>
      </c>
      <c r="D64" s="3">
        <v>0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No</v>
      </c>
      <c r="D65" s="3">
        <v>0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No</v>
      </c>
      <c r="D66" s="3">
        <v>0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No</v>
      </c>
      <c r="D67" s="3">
        <v>0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No</v>
      </c>
      <c r="D68" s="3">
        <v>0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213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0)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3" zoomScale="60" workbookViewId="0">
      <selection activeCell="D23" sqref="D23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No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No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No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0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0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0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0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0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0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0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No</v>
      </c>
      <c r="D52" s="8">
        <v>0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No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0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No</v>
      </c>
      <c r="D56" s="8">
        <v>0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No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No</v>
      </c>
      <c r="D58" s="8">
        <v>0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No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No</v>
      </c>
      <c r="D60" s="8">
        <v>0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No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No</v>
      </c>
      <c r="D62" s="8">
        <v>0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No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No</v>
      </c>
      <c r="D64" s="8">
        <v>0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No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No</v>
      </c>
      <c r="D66" s="8">
        <v>0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No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No</v>
      </c>
      <c r="D68" s="8">
        <v>0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No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No</v>
      </c>
      <c r="D70" s="8">
        <v>0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No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No</v>
      </c>
      <c r="D72" s="8">
        <v>0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No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No</v>
      </c>
      <c r="D74" s="8">
        <v>0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No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No</v>
      </c>
      <c r="D76" s="8">
        <v>0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No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No</v>
      </c>
      <c r="D78" s="8">
        <v>0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No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No</v>
      </c>
      <c r="D80" s="8">
        <v>0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No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No</v>
      </c>
      <c r="D88" s="8">
        <v>0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No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0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0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No</v>
      </c>
      <c r="D94" s="8">
        <v>0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No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0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0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0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0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0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No</v>
      </c>
      <c r="D106" s="8">
        <v>0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No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No</v>
      </c>
      <c r="D108" s="8">
        <v>0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No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No</v>
      </c>
      <c r="D110" s="8">
        <v>0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No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No</v>
      </c>
      <c r="D112" s="8">
        <v>0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No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No</v>
      </c>
      <c r="D114" s="8">
        <v>0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No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No</v>
      </c>
      <c r="D116" s="8">
        <v>0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No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213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213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0)</f>
        <v>0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topLeftCell="A49" zoomScale="93" workbookViewId="0">
      <selection activeCell="D15" sqref="D15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No</v>
      </c>
      <c r="D4" s="3">
        <v>5</v>
      </c>
      <c r="E4" s="3">
        <f>1-((D4-1)/4)</f>
        <v>0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>1-((D6-1)/4)</f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>1-((D7-1)/4)</f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>1-((D8-1)/4)</f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</v>
      </c>
      <c r="C11" s="1" t="str">
        <f>IF(COUNTIF(C4:C8, "Sì")&gt;0, "Sì", "No")</f>
        <v>No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2</v>
      </c>
      <c r="E17" s="3">
        <f t="shared" ref="E17:E52" si="0">1-((D17-1)/11)</f>
        <v>0.90909090909090906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2</v>
      </c>
      <c r="E18" s="3">
        <f t="shared" si="0"/>
        <v>0.90909090909090906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5</v>
      </c>
      <c r="E19" s="3">
        <f t="shared" si="0"/>
        <v>0.63636363636363635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No</v>
      </c>
      <c r="D20" s="3">
        <v>12</v>
      </c>
      <c r="E20" s="3">
        <f t="shared" si="0"/>
        <v>0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4</v>
      </c>
      <c r="E21" s="3">
        <f t="shared" si="0"/>
        <v>0.72727272727272729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No</v>
      </c>
      <c r="D22" s="3">
        <v>12</v>
      </c>
      <c r="E22" s="3">
        <f t="shared" si="0"/>
        <v>0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No</v>
      </c>
      <c r="D23" s="3">
        <v>12</v>
      </c>
      <c r="E23" s="3">
        <f t="shared" si="0"/>
        <v>0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No</v>
      </c>
      <c r="D24" s="3">
        <v>12</v>
      </c>
      <c r="E24" s="3">
        <f t="shared" si="0"/>
        <v>0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No</v>
      </c>
      <c r="D25" s="3">
        <v>12</v>
      </c>
      <c r="E25" s="3">
        <f t="shared" si="0"/>
        <v>0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No</v>
      </c>
      <c r="D26" s="3">
        <v>12</v>
      </c>
      <c r="E26" s="3">
        <f t="shared" si="0"/>
        <v>0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No</v>
      </c>
      <c r="D27" s="3">
        <v>12</v>
      </c>
      <c r="E27" s="3">
        <f t="shared" si="0"/>
        <v>0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No</v>
      </c>
      <c r="D28" s="3">
        <v>12</v>
      </c>
      <c r="E28" s="3">
        <f t="shared" si="0"/>
        <v>0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No</v>
      </c>
      <c r="D29" s="3">
        <v>12</v>
      </c>
      <c r="E29" s="3">
        <f t="shared" si="0"/>
        <v>0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No</v>
      </c>
      <c r="D30" s="3">
        <v>12</v>
      </c>
      <c r="E30" s="3">
        <f t="shared" si="0"/>
        <v>0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No</v>
      </c>
      <c r="D31" s="3">
        <v>12</v>
      </c>
      <c r="E31" s="3">
        <f t="shared" si="0"/>
        <v>0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No</v>
      </c>
      <c r="D32" s="3">
        <v>12</v>
      </c>
      <c r="E32" s="3">
        <f t="shared" si="0"/>
        <v>0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No</v>
      </c>
      <c r="D33" s="3">
        <v>12</v>
      </c>
      <c r="E33" s="3">
        <f t="shared" si="0"/>
        <v>0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No</v>
      </c>
      <c r="D34" s="3">
        <v>12</v>
      </c>
      <c r="E34" s="3">
        <f t="shared" si="0"/>
        <v>0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0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4</v>
      </c>
      <c r="E36" s="3">
        <f t="shared" si="0"/>
        <v>0.72727272727272729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5</v>
      </c>
      <c r="E37" s="3">
        <f t="shared" si="0"/>
        <v>0.63636363636363635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No</v>
      </c>
      <c r="D38" s="3">
        <v>12</v>
      </c>
      <c r="E38" s="3">
        <f t="shared" si="0"/>
        <v>0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4</v>
      </c>
      <c r="E39" s="3">
        <f t="shared" si="0"/>
        <v>0.72727272727272729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5</v>
      </c>
      <c r="E40" s="3">
        <f t="shared" si="0"/>
        <v>0.63636363636363635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No</v>
      </c>
      <c r="D41" s="3">
        <v>12</v>
      </c>
      <c r="E41" s="3">
        <f t="shared" si="0"/>
        <v>0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4</v>
      </c>
      <c r="E42" s="3">
        <f t="shared" si="0"/>
        <v>0.72727272727272729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5</v>
      </c>
      <c r="E43" s="3">
        <f t="shared" si="0"/>
        <v>0.63636363636363635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2</v>
      </c>
      <c r="E44" s="3">
        <f t="shared" si="0"/>
        <v>0.90909090909090906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2</v>
      </c>
      <c r="E45" s="3">
        <f t="shared" si="0"/>
        <v>0.90909090909090906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5</v>
      </c>
      <c r="E46" s="3">
        <f t="shared" si="0"/>
        <v>0.63636363636363635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No</v>
      </c>
      <c r="D47" s="3">
        <v>12</v>
      </c>
      <c r="E47" s="3">
        <f t="shared" si="0"/>
        <v>0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No</v>
      </c>
      <c r="D48" s="3">
        <v>12</v>
      </c>
      <c r="E48" s="3">
        <f t="shared" si="0"/>
        <v>0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No</v>
      </c>
      <c r="D49" s="3">
        <v>12</v>
      </c>
      <c r="E49" s="3">
        <f t="shared" si="0"/>
        <v>0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No</v>
      </c>
      <c r="D50" s="3">
        <v>12</v>
      </c>
      <c r="E50" s="3">
        <f t="shared" si="0"/>
        <v>0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No</v>
      </c>
      <c r="D51" s="3">
        <v>12</v>
      </c>
      <c r="E51" s="3">
        <f t="shared" si="0"/>
        <v>0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No</v>
      </c>
      <c r="D52" s="3">
        <v>12</v>
      </c>
      <c r="E52" s="3">
        <f t="shared" si="0"/>
        <v>0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0.74825174825174834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"Sì")+COUNTIF(C55,"Sì")), "Non calcolabile")</f>
        <v>0.74825174825174834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115" zoomScaleNormal="140" workbookViewId="0">
      <selection activeCell="B14" sqref="B14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661ECC-3033-4E43-860A-353959A504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2025-10-09T12:25:22Z</dcterms:modified>
</cp:coreProperties>
</file>