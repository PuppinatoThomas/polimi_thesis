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PycharmProjects\polimi-thesis\evaluations\data_cleaning\Dirty 50\DeepSeek\"/>
    </mc:Choice>
  </mc:AlternateContent>
  <xr:revisionPtr revIDLastSave="0" documentId="13_ncr:1_{22DEE29E-0446-4B87-8CB7-EFD979F965F3}" xr6:coauthVersionLast="47" xr6:coauthVersionMax="47" xr10:uidLastSave="{00000000-0000-0000-0000-000000000000}"/>
  <bookViews>
    <workbookView xWindow="-110" yWindow="-110" windowWidth="19420" windowHeight="10420" activeTab="4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1" i="2"/>
  <c r="C134" i="2" s="1"/>
  <c r="C130" i="2"/>
  <c r="H131" i="2"/>
  <c r="I131" i="2" s="1"/>
  <c r="G131" i="2"/>
  <c r="H130" i="2"/>
  <c r="G130" i="2"/>
  <c r="I130" i="2" s="1"/>
  <c r="C8" i="2"/>
  <c r="G9" i="2" s="1"/>
  <c r="C7" i="2"/>
  <c r="C6" i="2"/>
  <c r="C5" i="2"/>
  <c r="C4" i="2"/>
  <c r="H8" i="2"/>
  <c r="G8" i="2"/>
  <c r="I7" i="2"/>
  <c r="H7" i="2"/>
  <c r="G7" i="2"/>
  <c r="H6" i="2"/>
  <c r="I6" i="2" s="1"/>
  <c r="G6" i="2"/>
  <c r="I5" i="2"/>
  <c r="H5" i="2"/>
  <c r="G5" i="2"/>
  <c r="H4" i="2"/>
  <c r="G4" i="2"/>
  <c r="C129" i="6"/>
  <c r="C128" i="6"/>
  <c r="B132" i="6" s="1"/>
  <c r="C127" i="6"/>
  <c r="C126" i="6"/>
  <c r="C78" i="4"/>
  <c r="C81" i="4" s="1"/>
  <c r="E5" i="5"/>
  <c r="E6" i="5"/>
  <c r="E7" i="5"/>
  <c r="E8" i="5"/>
  <c r="E4" i="5"/>
  <c r="I8" i="2" l="1"/>
  <c r="C20" i="2"/>
  <c r="H9" i="2"/>
  <c r="G132" i="2"/>
  <c r="B81" i="4"/>
  <c r="C132" i="6"/>
  <c r="H132" i="2"/>
  <c r="I132" i="2"/>
  <c r="B134" i="2" s="1"/>
  <c r="I4" i="2"/>
  <c r="I9" i="2" s="1"/>
  <c r="B20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55" i="5" l="1"/>
  <c r="C55" i="5"/>
  <c r="B71" i="4"/>
  <c r="C71" i="4"/>
  <c r="C124" i="2"/>
  <c r="B124" i="2"/>
  <c r="C120" i="6"/>
  <c r="B120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B40" i="6" l="1"/>
  <c r="C40" i="6"/>
  <c r="B27" i="4"/>
  <c r="C27" i="4"/>
  <c r="C44" i="2"/>
  <c r="B44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1" i="4" l="1"/>
  <c r="B11" i="4"/>
  <c r="B84" i="4" s="1"/>
  <c r="B16" i="6"/>
  <c r="B135" i="6" s="1"/>
  <c r="C16" i="6"/>
  <c r="C11" i="5"/>
  <c r="B11" i="5"/>
  <c r="B58" i="5" s="1"/>
  <c r="B137" i="2"/>
</calcChain>
</file>

<file path=xl/sharedStrings.xml><?xml version="1.0" encoding="utf-8"?>
<sst xmlns="http://schemas.openxmlformats.org/spreadsheetml/2006/main" count="1283" uniqueCount="243">
  <si>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</si>
  <si>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</si>
  <si>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</si>
  <si>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</si>
  <si>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</si>
  <si>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</si>
  <si>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</si>
  <si>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</si>
  <si>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</si>
  <si>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</si>
  <si>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</si>
  <si>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</si>
  <si>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</si>
  <si>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</si>
  <si>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</si>
  <si>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</si>
  <si>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</si>
  <si>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</si>
  <si>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</si>
  <si>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</si>
  <si>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</si>
  <si>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</si>
  <si>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</si>
  <si>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</si>
  <si>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</si>
  <si>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</si>
  <si>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</si>
  <si>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</si>
  <si>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</si>
  <si>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</si>
  <si>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</si>
  <si>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</si>
  <si>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</si>
  <si>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</si>
  <si>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</si>
  <si>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</si>
  <si>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</si>
  <si>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</si>
  <si>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</si>
  <si>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</si>
  <si>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</si>
  <si>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</si>
  <si>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</si>
  <si>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</si>
  <si>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</si>
  <si>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</si>
  <si>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</si>
  <si>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</si>
  <si>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</si>
  <si>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</si>
  <si>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</si>
  <si>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</si>
  <si>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</si>
  <si>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</si>
  <si>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</si>
  <si>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</si>
  <si>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</si>
  <si>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</si>
  <si>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</si>
  <si>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</si>
  <si>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</si>
  <si>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</si>
  <si>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</si>
  <si>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</si>
  <si>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</si>
  <si>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</si>
  <si>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</si>
  <si>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</si>
  <si>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</si>
  <si>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</si>
  <si>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</si>
  <si>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</si>
  <si>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</si>
  <si>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</si>
  <si>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</si>
  <si>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</si>
  <si>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</si>
  <si>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</si>
  <si>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</si>
  <si>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</si>
  <si>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</si>
  <si>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</si>
  <si>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</si>
  <si>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</si>
  <si>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</si>
  <si>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</si>
  <si>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</si>
  <si>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</si>
  <si>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</si>
  <si>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</si>
  <si>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</si>
  <si>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</si>
  <si>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</si>
  <si>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</si>
  <si>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</si>
  <si>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</si>
  <si>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</si>
  <si>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</si>
  <si>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</si>
  <si>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</si>
  <si>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</si>
  <si>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</si>
  <si>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</si>
  <si>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</si>
  <si>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</si>
  <si>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</si>
  <si>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</si>
  <si>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</si>
  <si>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</si>
  <si>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</si>
  <si>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</si>
  <si>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</si>
  <si>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</si>
  <si>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</si>
  <si>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</si>
  <si>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</si>
  <si>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</si>
  <si>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</si>
  <si>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</si>
  <si>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</si>
  <si>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</si>
  <si>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</si>
  <si>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</si>
  <si>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</si>
  <si>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</si>
  <si>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</si>
  <si>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</si>
  <si>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</si>
  <si>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</si>
  <si>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</si>
  <si>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</si>
  <si>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</si>
  <si>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</si>
  <si>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</si>
  <si>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</si>
  <si>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</si>
  <si>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</si>
  <si>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</si>
  <si>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</si>
  <si>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</si>
  <si>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</si>
  <si>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</si>
  <si>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</si>
  <si>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</si>
  <si>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</si>
  <si>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</si>
  <si>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</si>
  <si>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</si>
  <si>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</si>
  <si>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</si>
  <si>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</si>
  <si>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</si>
  <si>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</si>
  <si>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</si>
  <si>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</si>
  <si>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</si>
  <si>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</si>
  <si>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</si>
  <si>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</si>
  <si>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</si>
  <si>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</si>
  <si>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</si>
  <si>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</si>
  <si>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</si>
  <si>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</si>
  <si>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</si>
  <si>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</si>
  <si>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</si>
  <si>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</si>
  <si>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</si>
  <si>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</si>
  <si>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</si>
  <si>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</si>
  <si>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</si>
  <si>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</si>
  <si>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</si>
  <si>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</si>
  <si>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</si>
  <si>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</si>
  <si>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</si>
  <si>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</si>
  <si>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</si>
  <si>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</si>
  <si>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</si>
  <si>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</si>
  <si>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</si>
  <si>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</si>
  <si>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</si>
  <si>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</si>
  <si>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</si>
  <si>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</si>
  <si>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</si>
  <si>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</si>
  <si>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</si>
  <si>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</si>
  <si>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</si>
  <si>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</si>
  <si>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</si>
  <si>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</si>
  <si>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</si>
  <si>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</si>
  <si>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</si>
  <si>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</si>
  <si>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</si>
  <si>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</si>
  <si>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</si>
  <si>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</si>
  <si>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</si>
  <si>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</si>
  <si>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</si>
  <si>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</si>
  <si>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</si>
  <si>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</si>
  <si>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</si>
  <si>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</si>
  <si>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</si>
  <si>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</si>
  <si>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</si>
  <si>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</si>
  <si>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</si>
  <si>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</si>
  <si>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</si>
  <si>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</si>
  <si>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</si>
  <si>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</si>
  <si>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</si>
  <si>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</si>
  <si>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</si>
  <si>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</si>
  <si>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</si>
  <si>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</si>
  <si>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</si>
  <si>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</si>
  <si>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</si>
  <si>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</si>
  <si>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</si>
  <si>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</si>
  <si>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</si>
  <si>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</si>
  <si>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</si>
  <si>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</si>
  <si>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NOTA: Per valutare Accuracy di data imputation sto considerando le proposte fatte in forma testuale e non quelle sotto forma di codice</t>
  </si>
  <si>
    <t>NOTA: Per valutare Readiness di data imputation sto considerando le proposte fatte in forma testuale e non quelle sotto forma di codice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</si>
</sst>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11" zoomScale="61" workbookViewId="0">
      <selection activeCell="D22" sqref="D22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0.2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1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0.875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1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1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1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0.86111111111111116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0.48402777777777778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opLeftCell="A108" zoomScale="61" zoomScaleNormal="70" workbookViewId="0">
      <selection activeCell="D38" sqref="D38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0</v>
      </c>
      <c r="E8" s="3">
        <v>15</v>
      </c>
      <c r="F8" s="3">
        <v>13</v>
      </c>
      <c r="G8">
        <f t="shared" si="0"/>
        <v>0</v>
      </c>
      <c r="H8">
        <f t="shared" si="1"/>
        <v>0</v>
      </c>
      <c r="I8" s="3">
        <f t="shared" si="2"/>
        <v>0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</v>
      </c>
      <c r="H9" s="4">
        <f>IFERROR(SUM(H4:H8)/COUNTIF(C4:C8, "Sì"), 0)</f>
        <v>0</v>
      </c>
      <c r="I9" s="13">
        <f>IFERROR(SUM(I4:I8)/COUNTIF(C4:C8, "Sì"), 0)</f>
        <v>0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230</v>
      </c>
      <c r="C13" s="3"/>
      <c r="D13" s="3"/>
    </row>
    <row r="14" spans="1:10" x14ac:dyDescent="0.4">
      <c r="A14" t="s">
        <v>1</v>
      </c>
      <c r="B14" s="2" t="s">
        <v>231</v>
      </c>
      <c r="C14" s="3"/>
      <c r="D14" s="3"/>
    </row>
    <row r="15" spans="1:10" x14ac:dyDescent="0.4">
      <c r="A15" t="s">
        <v>2</v>
      </c>
      <c r="B15" s="2" t="s">
        <v>232</v>
      </c>
      <c r="C15" s="3"/>
      <c r="D15" s="3"/>
    </row>
    <row r="16" spans="1:10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Sì</v>
      </c>
      <c r="D34" s="8">
        <v>1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Sì</v>
      </c>
      <c r="D35" s="8">
        <v>1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0.97142857142857153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  <c r="G45" s="6" t="s">
        <v>80</v>
      </c>
    </row>
    <row r="46" spans="1:12" x14ac:dyDescent="0.4">
      <c r="D46" s="3"/>
      <c r="G46" s="6" t="s">
        <v>82</v>
      </c>
    </row>
    <row r="47" spans="1:12" x14ac:dyDescent="0.4">
      <c r="A47" s="4" t="s">
        <v>68</v>
      </c>
      <c r="D47" s="3"/>
      <c r="G47" s="6" t="s">
        <v>84</v>
      </c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t="s">
        <v>235</v>
      </c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s="6"/>
      <c r="G50" t="s">
        <v>236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1</v>
      </c>
      <c r="E51" s="6" t="s">
        <v>92</v>
      </c>
      <c r="F51" s="6"/>
      <c r="G51" t="s">
        <v>236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s="6"/>
      <c r="G52" t="s">
        <v>236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1</v>
      </c>
      <c r="E53" s="6" t="s">
        <v>93</v>
      </c>
      <c r="F53" s="6"/>
      <c r="G53" t="s">
        <v>236</v>
      </c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s="6"/>
      <c r="G54" t="s">
        <v>236</v>
      </c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F55" s="6"/>
      <c r="G55" t="s">
        <v>236</v>
      </c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s="6"/>
      <c r="G56" t="s">
        <v>236</v>
      </c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1</v>
      </c>
      <c r="E57" s="6" t="s">
        <v>95</v>
      </c>
      <c r="F57" s="6"/>
      <c r="G57" t="s">
        <v>236</v>
      </c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t="s">
        <v>236</v>
      </c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t="s">
        <v>236</v>
      </c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s="6"/>
      <c r="G60" t="s">
        <v>236</v>
      </c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1</v>
      </c>
      <c r="E61" s="6" t="s">
        <v>97</v>
      </c>
      <c r="F61" s="6"/>
      <c r="G61" t="s">
        <v>236</v>
      </c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s="6"/>
      <c r="G62" t="s">
        <v>237</v>
      </c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s="6"/>
      <c r="G63" t="s">
        <v>237</v>
      </c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s="6"/>
      <c r="G64" t="s">
        <v>237</v>
      </c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s="6"/>
      <c r="G65" t="s">
        <v>237</v>
      </c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s="6"/>
      <c r="G66" t="s">
        <v>237</v>
      </c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s="6"/>
      <c r="G67" t="s">
        <v>237</v>
      </c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s="6"/>
      <c r="G68" t="s">
        <v>238</v>
      </c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0</v>
      </c>
      <c r="E69" s="6" t="s">
        <v>101</v>
      </c>
      <c r="F69" s="6"/>
      <c r="G69" t="s">
        <v>238</v>
      </c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s="6"/>
      <c r="G70" t="s">
        <v>238</v>
      </c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0</v>
      </c>
      <c r="E71" s="6" t="s">
        <v>102</v>
      </c>
      <c r="F71" s="6"/>
      <c r="G71" t="s">
        <v>238</v>
      </c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s="6"/>
      <c r="G72" t="s">
        <v>238</v>
      </c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0</v>
      </c>
      <c r="E73" s="6" t="s">
        <v>103</v>
      </c>
      <c r="F73" s="6"/>
      <c r="G73" t="s">
        <v>238</v>
      </c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s="6"/>
      <c r="G74" t="s">
        <v>238</v>
      </c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0</v>
      </c>
      <c r="E75" s="6" t="s">
        <v>104</v>
      </c>
      <c r="F75" s="6"/>
      <c r="G75" t="s">
        <v>238</v>
      </c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s="6"/>
      <c r="G76" t="s">
        <v>238</v>
      </c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0</v>
      </c>
      <c r="E77" s="6" t="s">
        <v>105</v>
      </c>
      <c r="F77" s="6"/>
      <c r="G77" t="s">
        <v>238</v>
      </c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s="6"/>
      <c r="G78" t="s">
        <v>238</v>
      </c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0</v>
      </c>
      <c r="E79" s="6" t="s">
        <v>106</v>
      </c>
      <c r="F79" s="6"/>
      <c r="G79" t="s">
        <v>238</v>
      </c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s="6"/>
      <c r="G80" t="s">
        <v>237</v>
      </c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s="6"/>
      <c r="G81" t="s">
        <v>237</v>
      </c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s="6"/>
      <c r="G82" t="s">
        <v>237</v>
      </c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s="6"/>
      <c r="G83" t="s">
        <v>237</v>
      </c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s="6"/>
      <c r="G84" t="s">
        <v>237</v>
      </c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s="6"/>
      <c r="G85" t="s">
        <v>237</v>
      </c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t="s">
        <v>236</v>
      </c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t="s">
        <v>236</v>
      </c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Sì</v>
      </c>
      <c r="D88" s="8">
        <v>1</v>
      </c>
      <c r="E88" s="6" t="s">
        <v>111</v>
      </c>
      <c r="F88" s="6"/>
      <c r="G88" t="s">
        <v>236</v>
      </c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Sì</v>
      </c>
      <c r="D89" s="8">
        <v>1</v>
      </c>
      <c r="E89" s="6" t="s">
        <v>111</v>
      </c>
      <c r="F89" s="6"/>
      <c r="G89" t="s">
        <v>236</v>
      </c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F90" s="6"/>
      <c r="G90" t="s">
        <v>236</v>
      </c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F91" s="6"/>
      <c r="G91" t="s">
        <v>236</v>
      </c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t="s">
        <v>236</v>
      </c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t="s">
        <v>236</v>
      </c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s="6"/>
      <c r="G94" t="s">
        <v>236</v>
      </c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F95" s="6"/>
      <c r="G95" t="s">
        <v>236</v>
      </c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s="6"/>
      <c r="G96" t="s">
        <v>236</v>
      </c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s="6"/>
      <c r="G97" t="s">
        <v>236</v>
      </c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t="s">
        <v>239</v>
      </c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t="s">
        <v>239</v>
      </c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s="6"/>
      <c r="G100" t="s">
        <v>239</v>
      </c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s="6"/>
      <c r="G101" t="s">
        <v>239</v>
      </c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s="6"/>
      <c r="G102" t="s">
        <v>239</v>
      </c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s="6"/>
      <c r="G103" t="s">
        <v>239</v>
      </c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s="6"/>
      <c r="G104" t="s">
        <v>240</v>
      </c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s="6"/>
      <c r="G105" t="s">
        <v>240</v>
      </c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F106" s="6"/>
      <c r="G106" t="s">
        <v>240</v>
      </c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F107" s="6"/>
      <c r="G107" t="s">
        <v>240</v>
      </c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s="6"/>
      <c r="G108" t="s">
        <v>240</v>
      </c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s="6"/>
      <c r="G109" t="s">
        <v>240</v>
      </c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s="6"/>
      <c r="G110" t="s">
        <v>237</v>
      </c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s="6"/>
      <c r="G111" t="s">
        <v>237</v>
      </c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s="6"/>
      <c r="G112" t="s">
        <v>237</v>
      </c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s="6"/>
      <c r="G113" t="s">
        <v>237</v>
      </c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s="6"/>
      <c r="G114" t="s">
        <v>237</v>
      </c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s="6"/>
      <c r="G115" t="s">
        <v>237</v>
      </c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t="s">
        <v>236</v>
      </c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t="s">
        <v>236</v>
      </c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Sì</v>
      </c>
      <c r="D118" s="8">
        <v>1</v>
      </c>
      <c r="E118" s="6" t="s">
        <v>126</v>
      </c>
      <c r="F118" s="6"/>
      <c r="G118" t="s">
        <v>236</v>
      </c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Sì</v>
      </c>
      <c r="D119" s="8">
        <v>1</v>
      </c>
      <c r="E119" s="6" t="s">
        <v>126</v>
      </c>
      <c r="F119" s="6"/>
      <c r="G119" t="s">
        <v>236</v>
      </c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1</v>
      </c>
      <c r="E120" s="6" t="s">
        <v>127</v>
      </c>
      <c r="F120" s="6"/>
      <c r="G120" t="s">
        <v>236</v>
      </c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1</v>
      </c>
      <c r="E121" s="6" t="s">
        <v>127</v>
      </c>
      <c r="F121" s="6"/>
      <c r="G121" t="s">
        <v>236</v>
      </c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0.87096774193548387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5" spans="1:16" x14ac:dyDescent="0.4">
      <c r="A125" s="6" t="s">
        <v>241</v>
      </c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0.61413210445468513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3" zoomScale="69" workbookViewId="0">
      <selection activeCell="D8" sqref="D8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Sì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0.7142857142857143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Sì</v>
      </c>
      <c r="D52" s="3">
        <v>1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Sì</v>
      </c>
      <c r="D67" s="3">
        <v>1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0.90476190476190477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00" zoomScale="68" workbookViewId="0">
      <selection activeCell="D12" sqref="D12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Sì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Sì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0.5714285714285714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Sì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Sì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Sì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Sì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 t="s">
        <v>242</v>
      </c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0.45714285714285713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abSelected="1" topLeftCell="A45" zoomScale="81" workbookViewId="0">
      <selection activeCell="D54" sqref="D54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 t="shared" ref="E5:E8" si="0"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 t="shared" si="0"/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 t="shared" si="0"/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1</v>
      </c>
      <c r="E8" s="3">
        <f t="shared" si="0"/>
        <v>1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1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7</v>
      </c>
      <c r="E17" s="3">
        <f t="shared" ref="E17:E52" si="1">1-((D17-1)/11)</f>
        <v>0.45454545454545459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7</v>
      </c>
      <c r="E18" s="3">
        <f t="shared" si="1"/>
        <v>0.45454545454545459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12</v>
      </c>
      <c r="E19" s="3">
        <f t="shared" si="1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1</v>
      </c>
      <c r="E20" s="3">
        <f t="shared" si="1"/>
        <v>1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1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12</v>
      </c>
      <c r="E22" s="3">
        <f t="shared" si="1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7</v>
      </c>
      <c r="E23" s="3">
        <f t="shared" si="1"/>
        <v>0.45454545454545459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7</v>
      </c>
      <c r="E24" s="3">
        <f t="shared" si="1"/>
        <v>0.45454545454545459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12</v>
      </c>
      <c r="E25" s="3">
        <f t="shared" si="1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7</v>
      </c>
      <c r="E26" s="3">
        <f t="shared" si="1"/>
        <v>0.45454545454545459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7</v>
      </c>
      <c r="E27" s="3">
        <f t="shared" si="1"/>
        <v>0.45454545454545459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12</v>
      </c>
      <c r="E28" s="3">
        <f t="shared" si="1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7</v>
      </c>
      <c r="E29" s="3">
        <f t="shared" si="1"/>
        <v>0.45454545454545459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7</v>
      </c>
      <c r="E30" s="3">
        <f t="shared" si="1"/>
        <v>0.45454545454545459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12</v>
      </c>
      <c r="E31" s="3">
        <f t="shared" si="1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7</v>
      </c>
      <c r="E32" s="3">
        <f t="shared" si="1"/>
        <v>0.45454545454545459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7</v>
      </c>
      <c r="E33" s="3">
        <f t="shared" si="1"/>
        <v>0.45454545454545459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12</v>
      </c>
      <c r="E34" s="3">
        <f t="shared" si="1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1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Sì</v>
      </c>
      <c r="D36" s="3">
        <v>4</v>
      </c>
      <c r="E36" s="3">
        <f t="shared" si="1"/>
        <v>0.72727272727272729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12</v>
      </c>
      <c r="E37" s="3">
        <f t="shared" si="1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1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4</v>
      </c>
      <c r="E39" s="3">
        <f t="shared" si="1"/>
        <v>0.72727272727272729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12</v>
      </c>
      <c r="E40" s="3">
        <f t="shared" si="1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1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4</v>
      </c>
      <c r="E42" s="3">
        <f t="shared" si="1"/>
        <v>0.72727272727272729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12</v>
      </c>
      <c r="E43" s="3">
        <f t="shared" si="1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7</v>
      </c>
      <c r="E44" s="3">
        <f t="shared" si="1"/>
        <v>0.45454545454545459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7</v>
      </c>
      <c r="E45" s="3">
        <f t="shared" si="1"/>
        <v>0.45454545454545459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12</v>
      </c>
      <c r="E46" s="3">
        <f t="shared" si="1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7</v>
      </c>
      <c r="E47" s="3">
        <f t="shared" si="1"/>
        <v>0.45454545454545459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7</v>
      </c>
      <c r="E48" s="3">
        <f t="shared" si="1"/>
        <v>0.45454545454545459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12</v>
      </c>
      <c r="E49" s="3">
        <f t="shared" si="1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1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Sì</v>
      </c>
      <c r="D51" s="3">
        <v>4</v>
      </c>
      <c r="E51" s="3">
        <f t="shared" si="1"/>
        <v>0.72727272727272729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12</v>
      </c>
      <c r="E52" s="3">
        <f t="shared" si="1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0.3313782991202347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0.66568914956011738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2025-10-09T13:13:06Z</dcterms:modified>
</cp:coreProperties>
</file>