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PT\"/>
    </mc:Choice>
  </mc:AlternateContent>
  <xr:revisionPtr revIDLastSave="0" documentId="13_ncr:1_{9288481A-36D7-4665-82F0-3E3EEC50B061}" xr6:coauthVersionLast="47" xr6:coauthVersionMax="47" xr10:uidLastSave="{00000000-0000-0000-0000-000000000000}"/>
  <bookViews>
    <workbookView xWindow="-110" yWindow="-110" windowWidth="19420" windowHeight="10420" activeTab="1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50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I130" i="2" l="1"/>
  <c r="H131" i="2"/>
  <c r="H130" i="2"/>
  <c r="G131" i="2"/>
  <c r="I131" i="2" s="1"/>
  <c r="G130" i="2"/>
  <c r="H5" i="2" l="1"/>
  <c r="H6" i="2"/>
  <c r="I6" i="2" s="1"/>
  <c r="H7" i="2"/>
  <c r="H8" i="2"/>
  <c r="H4" i="2"/>
  <c r="G5" i="2"/>
  <c r="I5" i="2" s="1"/>
  <c r="G6" i="2"/>
  <c r="G7" i="2"/>
  <c r="G8" i="2"/>
  <c r="G4" i="2"/>
  <c r="C129" i="6"/>
  <c r="C128" i="6"/>
  <c r="C127" i="6"/>
  <c r="C126" i="6"/>
  <c r="C78" i="4"/>
  <c r="E5" i="5"/>
  <c r="E6" i="5"/>
  <c r="E7" i="5"/>
  <c r="E8" i="5"/>
  <c r="E4" i="5"/>
  <c r="C131" i="2"/>
  <c r="C130" i="2"/>
  <c r="C132" i="6" l="1"/>
  <c r="B132" i="6"/>
  <c r="C81" i="4"/>
  <c r="B81" i="4"/>
  <c r="C134" i="2"/>
  <c r="H132" i="2"/>
  <c r="I132" i="2"/>
  <c r="B134" i="2" s="1"/>
  <c r="G132" i="2"/>
  <c r="I7" i="2"/>
  <c r="I8" i="2"/>
  <c r="I4" i="2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C71" i="4" l="1"/>
  <c r="C55" i="5"/>
  <c r="B120" i="6"/>
  <c r="C120" i="6"/>
  <c r="C124" i="2"/>
  <c r="B124" i="2"/>
  <c r="B71" i="4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4" i="2"/>
  <c r="C20" i="2" s="1"/>
  <c r="C6" i="2"/>
  <c r="C7" i="2"/>
  <c r="C8" i="2"/>
  <c r="C5" i="2"/>
  <c r="B27" i="1"/>
  <c r="C44" i="2" l="1"/>
  <c r="B44" i="2"/>
  <c r="B27" i="4"/>
  <c r="C27" i="4"/>
  <c r="C40" i="6"/>
  <c r="B40" i="6"/>
  <c r="I9" i="2"/>
  <c r="B20" i="2" s="1"/>
  <c r="H9" i="2"/>
  <c r="G9" i="2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16" i="6" s="1"/>
  <c r="C5" i="4"/>
  <c r="C6" i="4"/>
  <c r="C7" i="4"/>
  <c r="C8" i="4"/>
  <c r="C4" i="4"/>
  <c r="B11" i="1"/>
  <c r="B84" i="1" s="1"/>
  <c r="B137" i="2" l="1"/>
  <c r="C11" i="5"/>
  <c r="C11" i="4"/>
  <c r="B11" i="5"/>
  <c r="B16" i="6"/>
  <c r="B135" i="6" s="1"/>
  <c r="B11" i="4"/>
  <c r="B58" i="5" l="1"/>
  <c r="B84" i="4"/>
</calcChain>
</file>

<file path=xl/sharedStrings.xml><?xml version="1.0" encoding="utf-8"?>
<sst xmlns="http://schemas.openxmlformats.org/spreadsheetml/2006/main" count="1252" uniqueCount="212">
  <si>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</si>
  <si>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</si>
  <si>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</si>
  <si>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</si>
  <si>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</si>
  <si>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</si>
  <si>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</si>
  <si>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</si>
  <si>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</si>
  <si>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</si>
  <si>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</si>
  <si>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</si>
  <si>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</si>
  <si>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</si>
  <si>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</si>
  <si>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</si>
  <si>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</si>
  <si>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</si>
  <si>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</si>
  <si>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</si>
  <si>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</si>
  <si>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</si>
  <si>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</si>
  <si>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</si>
  <si>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</si>
  <si>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</si>
  <si>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</si>
  <si>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</si>
  <si>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</si>
  <si>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</si>
  <si>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</si>
  <si>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</si>
  <si>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</si>
  <si>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</si>
  <si>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</si>
  <si>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</si>
  <si>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</si>
  <si>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</si>
  <si>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</si>
  <si>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</si>
  <si>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</si>
  <si>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</si>
  <si>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</si>
  <si>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</si>
  <si>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</si>
  <si>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</si>
  <si>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</si>
  <si>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</si>
  <si>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</si>
  <si>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</si>
  <si>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</si>
  <si>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</si>
  <si>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</si>
  <si>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</si>
  <si>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</si>
  <si>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</si>
  <si>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</si>
  <si>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</si>
  <si>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</si>
  <si>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</si>
  <si>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</si>
  <si>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</si>
  <si>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</si>
  <si>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</si>
  <si>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</si>
  <si>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</si>
  <si>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</si>
  <si>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</si>
  <si>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</si>
  <si>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</si>
  <si>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</si>
  <si>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</si>
  <si>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</si>
  <si>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</si>
  <si>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</si>
  <si>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</si>
  <si>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</si>
  <si>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</si>
  <si>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</si>
  <si>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</si>
  <si>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</si>
  <si>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</si>
  <si>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</si>
  <si>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</si>
  <si>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</si>
  <si>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</si>
  <si>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</si>
  <si>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</si>
  <si>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</si>
  <si>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</si>
  <si>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</si>
  <si>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</si>
  <si>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</si>
  <si>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</si>
  <si>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</si>
  <si>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</si>
  <si>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</si>
  <si>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</si>
  <si>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</si>
  <si>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</si>
  <si>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</si>
  <si>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</si>
  <si>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</si>
  <si>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</si>
  <si>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</si>
  <si>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</si>
  <si>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</si>
  <si>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</si>
  <si>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</si>
  <si>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</si>
  <si>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</si>
  <si>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</si>
  <si>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</si>
  <si>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</si>
  <si>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</si>
  <si>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</si>
  <si>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</si>
  <si>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</si>
  <si>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</si>
  <si>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</si>
  <si>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</si>
  <si>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</si>
  <si>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</si>
  <si>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</si>
  <si>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</si>
  <si>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</si>
  <si>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</si>
  <si>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</si>
  <si>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</si>
  <si>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</si>
  <si>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</si>
  <si>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</si>
  <si>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</si>
  <si>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</si>
  <si>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</si>
  <si>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</si>
  <si>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</si>
  <si>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</si>
  <si>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</si>
  <si>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</si>
  <si>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</si>
  <si>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</si>
  <si>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</si>
  <si>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</si>
  <si>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</si>
  <si>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</si>
  <si>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</si>
  <si>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</si>
  <si>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</si>
  <si>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</si>
  <si>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</si>
  <si>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</si>
  <si>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</si>
  <si>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</si>
  <si>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</si>
  <si>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</si>
  <si>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</si>
  <si>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</si>
  <si>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</si>
  <si>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</si>
  <si>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</si>
  <si>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</si>
  <si>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</si>
  <si>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</si>
  <si>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</si>
  <si>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</si>
  <si>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</si>
  <si>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</si>
  <si>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</si>
  <si>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</si>
  <si>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</si>
  <si>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</si>
  <si>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</si>
  <si>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</si>
  <si>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</si>
  <si>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</si>
  <si>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</si>
  <si>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</si>
  <si>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</si>
  <si>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</si>
  <si>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</si>
  <si>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</si>
  <si>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</si>
  <si>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</si>
  <si>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</si>
  <si>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</si>
  <si>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</si>
  <si>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6 - 76</t>
  </si>
  <si>
    <t>13 - 99</t>
  </si>
  <si>
    <t>16 - 85 - 92</t>
  </si>
  <si>
    <t>26 - 40</t>
  </si>
  <si>
    <t>35 - 50</t>
  </si>
  <si>
    <t>37 - 59</t>
  </si>
  <si>
    <t>42 - 68 - 78</t>
  </si>
  <si>
    <t>66 - 69</t>
  </si>
  <si>
    <t>menziona o fa l'exact matching</t>
  </si>
  <si>
    <t>menziona o fa il non-exact matching</t>
  </si>
  <si>
    <t>Completeness!B77</t>
  </si>
  <si>
    <t>1075000.0, 1075000.0, 1150000.0, 1300000.0, 1979000.0, 2199000.0, 2365000.0, 2450000.0</t>
  </si>
  <si>
    <t>1, 6, 8, 8, 8, 12</t>
  </si>
  <si>
    <t>5, 5, 5, 6, 6, 7, 11, 12, 12</t>
  </si>
  <si>
    <t>0.7, 0.86, 0.9, 1.04, 1.08, 2.12, 3.0, 4.44, 8.36, 9.0, 10.0, 10.0, 14.25, 27.59, 35.0</t>
  </si>
  <si>
    <t>12.0, 85.0, 230.0, 280.0, 3650.0, 3765.0, 3789.0, 4145.0, 4156.0, 4758.0, 5828.0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</si>
  <si>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</si>
  <si>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</si>
  <si>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</si>
  <si>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</si>
  <si>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</si>
  <si>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</si>
  <si>
    <t>Nota</t>
  </si>
  <si>
    <t>Non è valida perché la soluzione proposta rimuove valori accettabili considerandoli outliers</t>
  </si>
  <si>
    <t>Per calcolare, qualora vengano proposte soluzioni con un diverso numero di outlier dati, uso il metodo che ne fornisce di più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</si>
</sst>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7" zoomScale="60" workbookViewId="0">
      <selection activeCell="F87" sqref="F87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1</v>
      </c>
    </row>
    <row r="6" spans="1:4" x14ac:dyDescent="0.4">
      <c r="A6" t="s">
        <v>2</v>
      </c>
      <c r="B6" t="s">
        <v>9</v>
      </c>
      <c r="C6" s="3" t="s">
        <v>10</v>
      </c>
      <c r="D6" s="3">
        <v>1</v>
      </c>
    </row>
    <row r="7" spans="1:4" x14ac:dyDescent="0.4">
      <c r="A7" t="s">
        <v>3</v>
      </c>
      <c r="B7" t="s">
        <v>9</v>
      </c>
      <c r="C7" s="3" t="s">
        <v>10</v>
      </c>
      <c r="D7" s="3">
        <v>1</v>
      </c>
    </row>
    <row r="8" spans="1:4" x14ac:dyDescent="0.4">
      <c r="A8" t="s">
        <v>4</v>
      </c>
      <c r="B8" t="s">
        <v>9</v>
      </c>
      <c r="C8" s="3" t="s">
        <v>10</v>
      </c>
      <c r="D8" s="3">
        <v>1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1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1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1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0.75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1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1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1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1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195</v>
      </c>
      <c r="C77" s="3" t="s">
        <v>182</v>
      </c>
      <c r="D77" s="3">
        <v>0</v>
      </c>
    </row>
    <row r="78" spans="1:4" x14ac:dyDescent="0.4">
      <c r="B78" t="s">
        <v>196</v>
      </c>
      <c r="C78" s="3" t="s">
        <v>10</v>
      </c>
      <c r="D78" s="3">
        <v>1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1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42"/>
  <sheetViews>
    <sheetView tabSelected="1" topLeftCell="C1" zoomScale="77" zoomScaleNormal="52" workbookViewId="0">
      <selection activeCell="L3" sqref="L3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2" x14ac:dyDescent="0.4">
      <c r="A1" s="4" t="s">
        <v>18</v>
      </c>
      <c r="C1" s="2"/>
    </row>
    <row r="2" spans="1:12" x14ac:dyDescent="0.4">
      <c r="D2" s="3"/>
    </row>
    <row r="3" spans="1:12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  <c r="L3" t="s">
        <v>211</v>
      </c>
    </row>
    <row r="4" spans="1:12" x14ac:dyDescent="0.4">
      <c r="A4" t="s">
        <v>0</v>
      </c>
      <c r="B4" t="s">
        <v>159</v>
      </c>
      <c r="C4" s="3" t="str">
        <f>IF(Completeness!D4=1,"Sì","No")</f>
        <v>Sì</v>
      </c>
      <c r="D4" s="3">
        <v>4</v>
      </c>
      <c r="E4" s="3">
        <v>5</v>
      </c>
      <c r="F4" s="3">
        <v>4</v>
      </c>
      <c r="G4">
        <f>IF(D4+E4=0, 0, D4/(D4+E4))</f>
        <v>0.44444444444444442</v>
      </c>
      <c r="H4">
        <f>IF(D4+F4=0, 0, D4/(D4+F4))</f>
        <v>0.5</v>
      </c>
      <c r="I4" s="3">
        <f>IF(G4+H4=0, 0,(2*G4*H4)/(G4+H4))</f>
        <v>0.47058823529411764</v>
      </c>
      <c r="J4" s="2" t="s">
        <v>178</v>
      </c>
    </row>
    <row r="5" spans="1:12" x14ac:dyDescent="0.4">
      <c r="A5" t="s">
        <v>1</v>
      </c>
      <c r="B5" t="s">
        <v>160</v>
      </c>
      <c r="C5" s="3" t="str">
        <f>IF(Completeness!D5=1,"Sì","No")</f>
        <v>Sì</v>
      </c>
      <c r="D5" s="3">
        <v>5</v>
      </c>
      <c r="E5" s="3">
        <v>2</v>
      </c>
      <c r="F5" s="3">
        <v>0</v>
      </c>
      <c r="G5">
        <f t="shared" ref="G5:G8" si="0">IF(D5+E5=0, 0, D5/(D5+E5))</f>
        <v>0.7142857142857143</v>
      </c>
      <c r="H5">
        <f t="shared" ref="H5:H8" si="1">IF(D5+F5=0, 0, D5/(D5+F5))</f>
        <v>1</v>
      </c>
      <c r="I5" s="3">
        <f t="shared" ref="I5:I8" si="2">IF(G5+H5=0, 0,(2*G5*H5)/(G5+H5))</f>
        <v>0.83333333333333326</v>
      </c>
      <c r="J5" s="2" t="s">
        <v>179</v>
      </c>
    </row>
    <row r="6" spans="1:12" x14ac:dyDescent="0.4">
      <c r="A6" t="s">
        <v>2</v>
      </c>
      <c r="B6" t="s">
        <v>161</v>
      </c>
      <c r="C6" s="3" t="str">
        <f>IF(Completeness!D6=1,"Sì","No")</f>
        <v>Sì</v>
      </c>
      <c r="D6" s="3">
        <v>8</v>
      </c>
      <c r="E6" s="3">
        <v>0</v>
      </c>
      <c r="F6" s="3">
        <v>1</v>
      </c>
      <c r="G6">
        <f t="shared" si="0"/>
        <v>1</v>
      </c>
      <c r="H6">
        <f t="shared" si="1"/>
        <v>0.88888888888888884</v>
      </c>
      <c r="I6" s="3">
        <f t="shared" si="2"/>
        <v>0.94117647058823528</v>
      </c>
      <c r="J6" s="2" t="s">
        <v>15</v>
      </c>
    </row>
    <row r="7" spans="1:12" x14ac:dyDescent="0.4">
      <c r="A7" t="s">
        <v>3</v>
      </c>
      <c r="B7" t="s">
        <v>162</v>
      </c>
      <c r="C7" s="3" t="str">
        <f>IF(Completeness!D7=1,"Sì","No")</f>
        <v>Sì</v>
      </c>
      <c r="D7" s="3">
        <v>12</v>
      </c>
      <c r="E7" s="3">
        <v>5</v>
      </c>
      <c r="F7" s="3">
        <v>3</v>
      </c>
      <c r="G7">
        <f t="shared" si="0"/>
        <v>0.70588235294117652</v>
      </c>
      <c r="H7">
        <f t="shared" si="1"/>
        <v>0.8</v>
      </c>
      <c r="I7" s="3">
        <f t="shared" si="2"/>
        <v>0.75000000000000011</v>
      </c>
      <c r="J7" s="2" t="s">
        <v>16</v>
      </c>
    </row>
    <row r="8" spans="1:12" x14ac:dyDescent="0.4">
      <c r="A8" t="s">
        <v>4</v>
      </c>
      <c r="B8" t="s">
        <v>163</v>
      </c>
      <c r="C8" s="3" t="str">
        <f>IF(Completeness!D8=1,"Sì","No")</f>
        <v>Sì</v>
      </c>
      <c r="D8" s="3">
        <v>10</v>
      </c>
      <c r="E8" s="3">
        <v>8</v>
      </c>
      <c r="F8" s="3">
        <v>1</v>
      </c>
      <c r="G8">
        <f t="shared" si="0"/>
        <v>0.55555555555555558</v>
      </c>
      <c r="H8">
        <f t="shared" si="1"/>
        <v>0.90909090909090906</v>
      </c>
      <c r="I8" s="3">
        <f t="shared" si="2"/>
        <v>0.68965517241379315</v>
      </c>
      <c r="J8" s="2" t="s">
        <v>17</v>
      </c>
    </row>
    <row r="9" spans="1:12" x14ac:dyDescent="0.4">
      <c r="C9" s="3"/>
      <c r="D9" s="3"/>
      <c r="E9" s="3"/>
      <c r="F9" s="3"/>
      <c r="G9" s="4">
        <f>IFERROR(SUM(G4:G8)/COUNTIF(C4:C8, "Sì"), 0)</f>
        <v>0.68403361344537816</v>
      </c>
      <c r="H9" s="4">
        <f>IFERROR(SUM(H4:H8)/COUNTIF(C4:C8, "Sì"), 0)</f>
        <v>0.81959595959595966</v>
      </c>
      <c r="I9" s="13">
        <f>IFERROR(SUM(I4:I8)/COUNTIF(C4:C8, "Sì"), 0)</f>
        <v>0.73695064232589591</v>
      </c>
    </row>
    <row r="10" spans="1:12" x14ac:dyDescent="0.4">
      <c r="B10" s="3"/>
      <c r="C10" s="3"/>
      <c r="D10" s="3"/>
    </row>
    <row r="11" spans="1:12" x14ac:dyDescent="0.4">
      <c r="B11" s="3"/>
      <c r="C11" s="3"/>
      <c r="D11" s="3"/>
    </row>
    <row r="12" spans="1:12" x14ac:dyDescent="0.4">
      <c r="A12" s="4" t="s">
        <v>19</v>
      </c>
      <c r="B12" s="3"/>
      <c r="C12" s="3"/>
      <c r="D12" s="3"/>
    </row>
    <row r="13" spans="1:12" x14ac:dyDescent="0.4">
      <c r="A13" t="s">
        <v>0</v>
      </c>
      <c r="B13" s="2" t="s">
        <v>198</v>
      </c>
      <c r="C13" s="3"/>
      <c r="D13" s="3"/>
    </row>
    <row r="14" spans="1:12" x14ac:dyDescent="0.4">
      <c r="A14" t="s">
        <v>1</v>
      </c>
      <c r="B14" s="2" t="s">
        <v>199</v>
      </c>
      <c r="C14" s="3"/>
      <c r="D14" s="3"/>
    </row>
    <row r="15" spans="1:12" x14ac:dyDescent="0.4">
      <c r="A15" t="s">
        <v>2</v>
      </c>
      <c r="B15" s="2" t="s">
        <v>200</v>
      </c>
      <c r="C15" s="3"/>
      <c r="D15" s="3"/>
    </row>
    <row r="16" spans="1:12" x14ac:dyDescent="0.4">
      <c r="A16" t="s">
        <v>3</v>
      </c>
      <c r="B16" s="2" t="s">
        <v>201</v>
      </c>
      <c r="C16" s="3"/>
      <c r="D16" s="3"/>
    </row>
    <row r="17" spans="1:12" x14ac:dyDescent="0.4">
      <c r="A17" t="s">
        <v>4</v>
      </c>
      <c r="B17" s="2" t="s">
        <v>202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0.73695064232589591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Sì</v>
      </c>
      <c r="D26" s="8">
        <v>1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Sì</v>
      </c>
      <c r="D27" s="8">
        <v>1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1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1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Sì</v>
      </c>
      <c r="D36" s="8">
        <v>1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Sì</v>
      </c>
      <c r="D37" s="8">
        <v>1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1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1.0000000000000002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203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204</v>
      </c>
      <c r="G50" s="6"/>
      <c r="I50" s="6" t="s">
        <v>80</v>
      </c>
      <c r="P50" s="7" t="str">
        <f t="shared" ref="P50:P113" si="4"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1</v>
      </c>
      <c r="E51" s="6" t="s">
        <v>92</v>
      </c>
      <c r="F51" t="s">
        <v>204</v>
      </c>
      <c r="G51" s="6"/>
      <c r="I51" s="6" t="s">
        <v>82</v>
      </c>
      <c r="P51" s="7" t="str">
        <f t="shared" si="4"/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204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1</v>
      </c>
      <c r="E53" s="6" t="s">
        <v>93</v>
      </c>
      <c r="F53" t="s">
        <v>204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204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1</v>
      </c>
      <c r="E55" s="6" t="s">
        <v>94</v>
      </c>
      <c r="F55" t="s">
        <v>204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204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1</v>
      </c>
      <c r="E57" s="6" t="s">
        <v>95</v>
      </c>
      <c r="F57" t="s">
        <v>204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204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1</v>
      </c>
      <c r="E59" s="6" t="s">
        <v>96</v>
      </c>
      <c r="F59" t="s">
        <v>204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204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1</v>
      </c>
      <c r="E61" s="6" t="s">
        <v>97</v>
      </c>
      <c r="F61" t="s">
        <v>204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205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205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205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205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205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205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206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1</v>
      </c>
      <c r="E69" s="6" t="s">
        <v>101</v>
      </c>
      <c r="F69" t="s">
        <v>206</v>
      </c>
      <c r="G69" s="6"/>
      <c r="H69" s="6"/>
      <c r="P69" s="7" t="str">
        <f t="shared" si="4"/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206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1</v>
      </c>
      <c r="E71" s="6" t="s">
        <v>102</v>
      </c>
      <c r="F71" t="s">
        <v>206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206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1</v>
      </c>
      <c r="E73" s="6" t="s">
        <v>103</v>
      </c>
      <c r="F73" t="s">
        <v>206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206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1</v>
      </c>
      <c r="E75" s="6" t="s">
        <v>104</v>
      </c>
      <c r="F75" t="s">
        <v>206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206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1</v>
      </c>
      <c r="E77" s="6" t="s">
        <v>105</v>
      </c>
      <c r="F77" t="s">
        <v>206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206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1</v>
      </c>
      <c r="E79" s="6" t="s">
        <v>106</v>
      </c>
      <c r="F79" t="s">
        <v>206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0</v>
      </c>
      <c r="E80" s="6" t="s">
        <v>107</v>
      </c>
      <c r="F80" t="s">
        <v>205</v>
      </c>
      <c r="G80" s="6"/>
      <c r="H80" s="6"/>
      <c r="J80" t="s">
        <v>209</v>
      </c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205</v>
      </c>
      <c r="G81" s="6"/>
      <c r="H81" s="6"/>
      <c r="J81" t="s">
        <v>210</v>
      </c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0</v>
      </c>
      <c r="E82" s="6" t="s">
        <v>108</v>
      </c>
      <c r="F82" t="s">
        <v>205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205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0</v>
      </c>
      <c r="E84" s="6" t="s">
        <v>109</v>
      </c>
      <c r="F84" t="s">
        <v>205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205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Sì</v>
      </c>
      <c r="D86" s="8">
        <v>1</v>
      </c>
      <c r="E86" s="6" t="s">
        <v>110</v>
      </c>
      <c r="F86" t="s">
        <v>204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Sì</v>
      </c>
      <c r="D87" s="8">
        <v>1</v>
      </c>
      <c r="E87" s="6" t="s">
        <v>110</v>
      </c>
      <c r="F87" t="s">
        <v>204</v>
      </c>
      <c r="G87" s="6"/>
      <c r="H87" s="6"/>
      <c r="P87" s="7" t="str">
        <f t="shared" si="4"/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Sì</v>
      </c>
      <c r="D88" s="8">
        <v>1</v>
      </c>
      <c r="E88" s="6" t="s">
        <v>111</v>
      </c>
      <c r="F88" t="s">
        <v>204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Sì</v>
      </c>
      <c r="D89" s="8">
        <v>1</v>
      </c>
      <c r="E89" s="6" t="s">
        <v>111</v>
      </c>
      <c r="F89" t="s">
        <v>204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Sì</v>
      </c>
      <c r="D90" s="8">
        <v>1</v>
      </c>
      <c r="E90" s="6" t="s">
        <v>112</v>
      </c>
      <c r="F90" t="s">
        <v>204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Sì</v>
      </c>
      <c r="D91" s="8">
        <v>1</v>
      </c>
      <c r="E91" s="6" t="s">
        <v>112</v>
      </c>
      <c r="F91" t="s">
        <v>204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204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1</v>
      </c>
      <c r="E93" s="6" t="s">
        <v>113</v>
      </c>
      <c r="F93" t="s">
        <v>204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204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1</v>
      </c>
      <c r="E95" s="6" t="s">
        <v>114</v>
      </c>
      <c r="F95" t="s">
        <v>204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204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1</v>
      </c>
      <c r="E97" s="6" t="s">
        <v>115</v>
      </c>
      <c r="F97" t="s">
        <v>204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207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1</v>
      </c>
      <c r="E99" s="6" t="s">
        <v>116</v>
      </c>
      <c r="F99" t="s">
        <v>207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207</v>
      </c>
      <c r="G100" s="6"/>
      <c r="H100" s="6"/>
      <c r="P100" s="7" t="str">
        <f t="shared" si="4"/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1</v>
      </c>
      <c r="E101" s="6" t="s">
        <v>117</v>
      </c>
      <c r="F101" t="s">
        <v>207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207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1</v>
      </c>
      <c r="E103" s="6" t="s">
        <v>118</v>
      </c>
      <c r="F103" t="s">
        <v>207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208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1</v>
      </c>
      <c r="E105" s="6" t="s">
        <v>119</v>
      </c>
      <c r="F105" t="s">
        <v>208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208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1</v>
      </c>
      <c r="E107" s="6" t="s">
        <v>120</v>
      </c>
      <c r="F107" t="s">
        <v>208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208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1</v>
      </c>
      <c r="E109" s="6" t="s">
        <v>121</v>
      </c>
      <c r="F109" t="s">
        <v>208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205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205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205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205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205</v>
      </c>
      <c r="G114" s="6"/>
      <c r="H114" s="6"/>
      <c r="P114" s="7" t="str">
        <f t="shared" ref="P114:P121" si="5"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205</v>
      </c>
      <c r="G115" s="6"/>
      <c r="H115" s="6"/>
      <c r="P115" s="7" t="str">
        <f t="shared" si="5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204</v>
      </c>
      <c r="G116" s="6"/>
      <c r="H116" s="6"/>
      <c r="P116" s="7" t="str">
        <f t="shared" si="5"/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204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t="s">
        <v>204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t="s">
        <v>204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204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204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0.88333333333333341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197</v>
      </c>
    </row>
    <row r="131" spans="1:10" x14ac:dyDescent="0.4">
      <c r="B131" s="6" t="s">
        <v>152</v>
      </c>
      <c r="C131" s="8" t="str">
        <f>IF(Completeness!D78=1,"Sì","No")</f>
        <v>Sì</v>
      </c>
      <c r="D131" s="8">
        <v>10</v>
      </c>
      <c r="E131" s="8">
        <v>0</v>
      </c>
      <c r="F131" s="8">
        <v>0</v>
      </c>
      <c r="G131" s="6">
        <f>IFERROR(D131/(D131+E131), 0)</f>
        <v>1</v>
      </c>
      <c r="H131" s="6">
        <f>IFERROR(D131/(D131+F131), 0)</f>
        <v>1</v>
      </c>
      <c r="I131">
        <f>IFERROR((2*G131*H131)/(G131+H131), 0)</f>
        <v>1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1</v>
      </c>
      <c r="H132" s="9">
        <f>IFERROR((H130+H131)/COUNTIF(C130:C131, "Sì"), 0)</f>
        <v>1</v>
      </c>
      <c r="I132" s="15">
        <f>IFERROR((I130+I131)/COUNTIF(C130:C131, "Sì"), 0)</f>
        <v>1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1</v>
      </c>
      <c r="C134" s="1" t="str">
        <f>IF(COUNTIF(C130:C131, "Sì")&gt;0, "Sì", "No")</f>
        <v>Sì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(B20+B44+B124+B134)/(COUNTIF(C20,"Sì")+COUNTIF(C44,"Sì")+COUNTIF(C124,"Sì")+COUNTIF(C134,"Sì"))</f>
        <v>0.90507099391480739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zoomScale="56" zoomScaleNormal="100" workbookViewId="0">
      <selection activeCell="D9" sqref="D9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0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Sì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Sì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Sì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Sì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0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Sì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0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0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0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Sì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0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0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0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0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0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Sì</v>
      </c>
      <c r="D51" s="3">
        <v>1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Sì</v>
      </c>
      <c r="D52" s="3">
        <v>1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Sì</v>
      </c>
      <c r="D53" s="3">
        <v>1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0.91666666666666663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197</v>
      </c>
    </row>
    <row r="78" spans="1:5" x14ac:dyDescent="0.4">
      <c r="B78" s="6" t="s">
        <v>165</v>
      </c>
      <c r="C78" s="8" t="str">
        <f>IF(Completeness!D78=1,"Sì","No")</f>
        <v>Sì</v>
      </c>
      <c r="D78" s="8">
        <v>1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1</v>
      </c>
      <c r="C81" s="1" t="str">
        <f>IF(COUNTIF(C77:C78, "Sì")&gt;0, "Sì", "No")</f>
        <v>Sì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(B11+B27+B71+B81)/(COUNTIF(C11, "Sì")+COUNTIF(C27, "Sì")+COUNTIF(C71, "Sì")+COUNTIF(C81, "Sì"))</f>
        <v>0.47916666666666663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zoomScale="60" workbookViewId="0">
      <selection activeCell="D130" sqref="D130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0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Sì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Sì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Sì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Sì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Sì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Sì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Sì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Sì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Sì</v>
      </c>
      <c r="D22" s="8">
        <v>1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Sì</v>
      </c>
      <c r="D23" s="8">
        <v>1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1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1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1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Sì</v>
      </c>
      <c r="D32" s="8">
        <v>1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Sì</v>
      </c>
      <c r="D33" s="8">
        <v>1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1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1.0000000000000002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1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1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1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1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1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1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1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1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1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1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1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1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1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1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1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1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1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1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Sì</v>
      </c>
      <c r="D82" s="8">
        <v>1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Sì</v>
      </c>
      <c r="D83" s="8">
        <v>1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Sì</v>
      </c>
      <c r="D84" s="8">
        <v>1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Sì</v>
      </c>
      <c r="D85" s="8">
        <v>1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Sì</v>
      </c>
      <c r="D86" s="8">
        <v>1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Sì</v>
      </c>
      <c r="D87" s="8">
        <v>1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1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1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1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1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1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1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1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1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1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1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1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1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1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1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1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1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197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197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Sì</v>
      </c>
      <c r="D128" s="8">
        <v>1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Sì</v>
      </c>
      <c r="D129" s="8">
        <v>1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1</v>
      </c>
      <c r="C132" s="1" t="str">
        <f>IF(COUNTIF(C126:C129, "Sì")&gt;0, "Sì", "No")</f>
        <v>Sì</v>
      </c>
      <c r="D132" s="6"/>
    </row>
    <row r="135" spans="1:7" x14ac:dyDescent="0.4">
      <c r="A135" s="4" t="s">
        <v>175</v>
      </c>
      <c r="B135">
        <f>(B16+B40+B120+B132)/(COUNTIF(C16, "Sì")+COUNTIF(C40, "Sì")+COUNTIF(C120, "Sì")+COUNTIF(C132, "Sì"))</f>
        <v>0.75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opLeftCell="B1" zoomScale="61" workbookViewId="0">
      <selection activeCell="D20" sqref="D20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Sì</v>
      </c>
      <c r="D5" s="3">
        <v>4</v>
      </c>
      <c r="E5" s="3">
        <f>1-((D5-1)/4)</f>
        <v>0.25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Sì</v>
      </c>
      <c r="D6" s="3">
        <v>4</v>
      </c>
      <c r="E6" s="3">
        <f>1-((D6-1)/4)</f>
        <v>0.25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Sì</v>
      </c>
      <c r="D7" s="3">
        <v>4</v>
      </c>
      <c r="E7" s="3">
        <f>1-((D7-1)/4)</f>
        <v>0.25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Sì</v>
      </c>
      <c r="D8" s="3">
        <v>4</v>
      </c>
      <c r="E8" s="3">
        <f>1-((D8-1)/4)</f>
        <v>0.25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0.4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0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2</v>
      </c>
      <c r="E18" s="3">
        <f t="shared" si="0"/>
        <v>0.90909090909090906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7</v>
      </c>
      <c r="E19" s="3">
        <f t="shared" si="0"/>
        <v>0.45454545454545459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7</v>
      </c>
      <c r="E20" s="3">
        <f t="shared" si="0"/>
        <v>0.45454545454545459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7</v>
      </c>
      <c r="E21" s="3">
        <f t="shared" si="0"/>
        <v>0.45454545454545459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7</v>
      </c>
      <c r="E22" s="3">
        <f t="shared" si="0"/>
        <v>0.45454545454545459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0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0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0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0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0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0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0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0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0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0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0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0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Sì</v>
      </c>
      <c r="D35" s="3">
        <v>7</v>
      </c>
      <c r="E35" s="3">
        <f t="shared" si="0"/>
        <v>0.45454545454545459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Sì</v>
      </c>
      <c r="D36" s="3">
        <v>7</v>
      </c>
      <c r="E36" s="3">
        <f t="shared" si="0"/>
        <v>0.45454545454545459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Sì</v>
      </c>
      <c r="D37" s="3">
        <v>7</v>
      </c>
      <c r="E37" s="3">
        <f t="shared" si="0"/>
        <v>0.45454545454545459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7</v>
      </c>
      <c r="E38" s="3">
        <f t="shared" si="0"/>
        <v>0.45454545454545459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7</v>
      </c>
      <c r="E39" s="3">
        <f t="shared" si="0"/>
        <v>0.45454545454545459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7</v>
      </c>
      <c r="E40" s="3">
        <f t="shared" si="0"/>
        <v>0.45454545454545459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7</v>
      </c>
      <c r="E41" s="3">
        <f t="shared" si="0"/>
        <v>0.45454545454545459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7</v>
      </c>
      <c r="E42" s="3">
        <f t="shared" si="0"/>
        <v>0.45454545454545459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7</v>
      </c>
      <c r="E43" s="3">
        <f t="shared" si="0"/>
        <v>0.45454545454545459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0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2</v>
      </c>
      <c r="E45" s="3">
        <f t="shared" si="0"/>
        <v>0.90909090909090906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7</v>
      </c>
      <c r="E46" s="3">
        <f t="shared" si="0"/>
        <v>0.45454545454545459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0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0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0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7</v>
      </c>
      <c r="E50" s="3">
        <f t="shared" si="0"/>
        <v>0.45454545454545459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7</v>
      </c>
      <c r="E51" s="3">
        <f t="shared" si="0"/>
        <v>0.45454545454545459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7</v>
      </c>
      <c r="E52" s="3">
        <f t="shared" si="0"/>
        <v>0.45454545454545459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0.58080808080808088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(B11+B55)/(COUNTIF(C11, "Sì")+COUNTIF(C55, "Sì"))</f>
        <v>0.49040404040404045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69" zoomScaleNormal="140" workbookViewId="0">
      <selection activeCell="B7" sqref="B7"/>
    </sheetView>
  </sheetViews>
  <sheetFormatPr defaultColWidth="10.6640625" defaultRowHeight="16" x14ac:dyDescent="0.4"/>
  <cols>
    <col min="1" max="1" width="44.6640625" customWidth="1"/>
    <col min="2" max="2" width="45.3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182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2025-10-11T14:53:03Z</dcterms:modified>
</cp:coreProperties>
</file>