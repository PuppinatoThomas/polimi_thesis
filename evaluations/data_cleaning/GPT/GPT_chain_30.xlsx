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"/>
    </mc:Choice>
  </mc:AlternateContent>
  <xr:revisionPtr revIDLastSave="0" documentId="13_ncr:1_{66F9A9F7-63B4-41C8-A387-2E7302390E35}" xr6:coauthVersionLast="47" xr6:coauthVersionMax="47" xr10:uidLastSave="{00000000-0000-0000-0000-000000000000}"/>
  <bookViews>
    <workbookView xWindow="-110" yWindow="-110" windowWidth="19420" windowHeight="10420" activeTab="3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9" i="6" l="1"/>
  <c r="E19" i="5"/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8" i="2"/>
  <c r="C7" i="2"/>
  <c r="C6" i="2"/>
  <c r="C5" i="2"/>
  <c r="C4" i="2"/>
  <c r="C131" i="2"/>
  <c r="C134" i="2" s="1"/>
  <c r="C130" i="2"/>
  <c r="H131" i="2"/>
  <c r="G131" i="2"/>
  <c r="H130" i="2"/>
  <c r="I130" i="2"/>
  <c r="H8" i="2"/>
  <c r="G8" i="2"/>
  <c r="H7" i="2"/>
  <c r="G7" i="2"/>
  <c r="H6" i="2"/>
  <c r="G6" i="2"/>
  <c r="H5" i="2"/>
  <c r="G5" i="2"/>
  <c r="H4" i="2"/>
  <c r="G4" i="2"/>
  <c r="C129" i="6"/>
  <c r="C128" i="6"/>
  <c r="C127" i="6"/>
  <c r="C126" i="6"/>
  <c r="C132" i="6" s="1"/>
  <c r="C78" i="4"/>
  <c r="E5" i="5"/>
  <c r="E6" i="5"/>
  <c r="E7" i="5"/>
  <c r="E8" i="5"/>
  <c r="E4" i="5"/>
  <c r="I131" i="2" l="1"/>
  <c r="I7" i="2"/>
  <c r="I4" i="2"/>
  <c r="I6" i="2"/>
  <c r="I5" i="2"/>
  <c r="C20" i="2"/>
  <c r="G9" i="2"/>
  <c r="B132" i="6"/>
  <c r="I132" i="2"/>
  <c r="B134" i="2" s="1"/>
  <c r="H132" i="2"/>
  <c r="I8" i="2"/>
  <c r="G132" i="2"/>
  <c r="H9" i="2"/>
  <c r="G127" i="6"/>
  <c r="G128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I9" i="2" l="1"/>
  <c r="B20" i="2" s="1"/>
  <c r="C77" i="4"/>
  <c r="B71" i="1"/>
  <c r="B81" i="4" l="1"/>
  <c r="C81" i="4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C19" i="5"/>
  <c r="E18" i="5"/>
  <c r="C18" i="5"/>
  <c r="E17" i="5"/>
  <c r="C17" i="5"/>
  <c r="B124" i="2" l="1"/>
  <c r="C120" i="6"/>
  <c r="B120" i="6"/>
  <c r="C55" i="5"/>
  <c r="B55" i="5"/>
  <c r="C124" i="2"/>
  <c r="B71" i="4"/>
  <c r="C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B44" i="2" s="1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44" i="2" l="1"/>
  <c r="B137" i="2"/>
  <c r="B40" i="6"/>
  <c r="C40" i="6"/>
  <c r="B27" i="4"/>
  <c r="C27" i="4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1" i="5" l="1"/>
  <c r="B11" i="5"/>
  <c r="B16" i="6"/>
  <c r="C16" i="6"/>
  <c r="B11" i="4"/>
  <c r="C11" i="4"/>
  <c r="B58" i="5" l="1"/>
  <c r="B135" i="6"/>
  <c r="B84" i="4"/>
</calcChain>
</file>

<file path=xl/sharedStrings.xml><?xml version="1.0" encoding="utf-8"?>
<sst xmlns="http://schemas.openxmlformats.org/spreadsheetml/2006/main" count="1268" uniqueCount="228">
  <si>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</si>
  <si>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</si>
  <si>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</si>
  <si>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</si>
  <si>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</si>
  <si>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</si>
  <si>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</si>
  <si>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</si>
  <si>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</si>
  <si>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</si>
  <si>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</si>
  <si>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</si>
  <si>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</si>
  <si>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</si>
  <si>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</si>
  <si>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</si>
  <si>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</si>
  <si>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</si>
  <si>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</si>
  <si>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</si>
  <si>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</si>
  <si>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</si>
  <si>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</si>
  <si>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</si>
  <si>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</si>
  <si>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</si>
  <si>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</si>
  <si>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</si>
  <si>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</si>
  <si>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</si>
  <si>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</si>
  <si>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</si>
  <si>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</si>
  <si>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</si>
  <si>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</si>
  <si>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</si>
  <si>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</si>
  <si>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</si>
  <si>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</si>
  <si>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</si>
  <si>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</si>
  <si>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</si>
  <si>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</si>
  <si>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</si>
  <si>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</si>
  <si>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</si>
  <si>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</si>
  <si>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</si>
  <si>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</si>
  <si>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</si>
  <si>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</si>
  <si>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</si>
  <si>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</si>
  <si>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</si>
  <si>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</si>
  <si>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</si>
  <si>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</si>
  <si>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</si>
  <si>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</si>
  <si>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</si>
  <si>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</si>
  <si>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</si>
  <si>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</si>
  <si>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</si>
  <si>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</si>
  <si>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</si>
  <si>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</si>
  <si>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</si>
  <si>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</si>
  <si>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</si>
  <si>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</si>
  <si>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</si>
  <si>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</si>
  <si>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</si>
  <si>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</si>
  <si>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</si>
  <si>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</si>
  <si>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</si>
  <si>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</si>
  <si>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</si>
  <si>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</si>
  <si>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</si>
  <si>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</si>
  <si>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</si>
  <si>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</si>
  <si>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</si>
  <si>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</si>
  <si>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</si>
  <si>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</si>
  <si>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</si>
  <si>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</si>
  <si>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</si>
  <si>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</si>
  <si>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</si>
  <si>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</si>
  <si>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</si>
  <si>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</si>
  <si>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</si>
  <si>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</si>
  <si>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</si>
  <si>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</si>
  <si>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</si>
  <si>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</si>
  <si>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</si>
  <si>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</si>
  <si>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</si>
  <si>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</si>
  <si>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</si>
  <si>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</si>
  <si>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</si>
  <si>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</si>
  <si>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</si>
  <si>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</si>
  <si>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</si>
  <si>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</si>
  <si>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</si>
  <si>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</si>
  <si>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</si>
  <si>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</si>
  <si>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</si>
  <si>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</si>
  <si>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</si>
  <si>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</si>
  <si>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</si>
  <si>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</si>
  <si>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</si>
  <si>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</si>
  <si>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</si>
  <si>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</si>
  <si>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</si>
  <si>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</si>
  <si>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</si>
  <si>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</si>
  <si>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</si>
  <si>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</si>
  <si>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</si>
  <si>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</si>
  <si>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</si>
  <si>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</si>
  <si>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</si>
  <si>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</si>
  <si>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</si>
  <si>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</si>
  <si>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</si>
  <si>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</si>
  <si>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</si>
  <si>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</si>
  <si>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</si>
  <si>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</si>
  <si>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</si>
  <si>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</si>
  <si>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</si>
  <si>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</si>
  <si>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</si>
  <si>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</si>
  <si>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</si>
  <si>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</si>
  <si>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</si>
  <si>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</si>
  <si>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</si>
  <si>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</si>
  <si>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</si>
  <si>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</si>
  <si>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</si>
  <si>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</si>
  <si>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</si>
  <si>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</si>
  <si>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</si>
  <si>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</si>
  <si>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</si>
  <si>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</si>
  <si>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</si>
  <si>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</si>
  <si>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</si>
  <si>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</si>
  <si>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</si>
  <si>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</si>
  <si>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</si>
  <si>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</si>
  <si>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</si>
  <si>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</si>
  <si>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</si>
  <si>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</si>
  <si>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</si>
  <si>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</si>
  <si>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</si>
  <si>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</si>
  <si>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3 - 9</t>
  </si>
  <si>
    <t>4 - 16 - 91</t>
  </si>
  <si>
    <t>5 - 45</t>
  </si>
  <si>
    <t>7 - 88 - 64</t>
  </si>
  <si>
    <t>10 - 35 - 47</t>
  </si>
  <si>
    <t>11 - 60</t>
  </si>
  <si>
    <t>12 - 82</t>
  </si>
  <si>
    <t>14 - 53</t>
  </si>
  <si>
    <t>15 - 65</t>
  </si>
  <si>
    <t>17 - 54 - 67</t>
  </si>
  <si>
    <t>18 - 86</t>
  </si>
  <si>
    <t>19 - 99</t>
  </si>
  <si>
    <t>22 - 79</t>
  </si>
  <si>
    <t>26 - 37</t>
  </si>
  <si>
    <t>29 - 40</t>
  </si>
  <si>
    <t>30 - 96</t>
  </si>
  <si>
    <t>31 - 52</t>
  </si>
  <si>
    <t>33 - 74</t>
  </si>
  <si>
    <t>42 - 70 - 92</t>
  </si>
  <si>
    <t>43 - 59</t>
  </si>
  <si>
    <t>44 - 61</t>
  </si>
  <si>
    <t>51 - 83</t>
  </si>
  <si>
    <t>55 - 69 - 77</t>
  </si>
  <si>
    <t>62 - 72</t>
  </si>
  <si>
    <t>menziona o fa l'exact matching</t>
  </si>
  <si>
    <t>menziona o fa il non-exact matching</t>
  </si>
  <si>
    <t>Completeness!B77</t>
  </si>
  <si>
    <t>898000.0, 898000.0, 949900.0, 999000.0, 1075000.0, 1075000.0, 2199000.0, 2365000.0, 9441500.0, 12312100.0</t>
  </si>
  <si>
    <t>1, 6, 6, 6, 7, 7, 7, 8, 8, 9, 9, 10, 11, 12</t>
  </si>
  <si>
    <t>5, 5, 5, 6, 8, 8, 8, 9, 9, 10, 10, 10, 12, 12</t>
  </si>
  <si>
    <t>0.59, 0.59, 0.7, 0.86, 0.9, 0.9, 1.04, 1.07, 2.12, 3.0, 6.69, 10.0, 10.0, 14.25, 27.59</t>
  </si>
  <si>
    <t>2.8, 11.0, 85.0, 87.0, 110.0, 140.0, 160.0, 160.0, 321.0, 4156.0, 4758.0, 8953.0, 10440.0</t>
  </si>
  <si>
    <t>Nota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</si>
  <si>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</si>
  <si>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</si>
  <si>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</si>
  <si>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</si>
  <si>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</si>
  <si>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</si>
  <si>
    <t>Considero che il termine missing valga sia per empty che per NaN</t>
  </si>
  <si>
    <t>Per calcolare, qualora vengano proposte soluzioni con un diverso numero di outlier dati, uso il metodo che ne fornisce di più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</si>
</sst>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6"/>
  <sheetViews>
    <sheetView topLeftCell="A77" zoomScale="82" workbookViewId="0">
      <selection activeCell="B87" sqref="B87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0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0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1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1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1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1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0.77777777777777779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211</v>
      </c>
      <c r="C77" s="3" t="s">
        <v>182</v>
      </c>
      <c r="D77" s="3">
        <v>0</v>
      </c>
    </row>
    <row r="78" spans="1:4" x14ac:dyDescent="0.4">
      <c r="B78" t="s">
        <v>212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0.81944444444444442</v>
      </c>
    </row>
    <row r="86" spans="1:4" x14ac:dyDescent="0.4">
      <c r="A86" t="s">
        <v>219</v>
      </c>
      <c r="B86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58"/>
  <sheetViews>
    <sheetView topLeftCell="A117" zoomScale="61" workbookViewId="0">
      <selection activeCell="L3" sqref="L3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2" x14ac:dyDescent="0.4">
      <c r="A1" s="4" t="s">
        <v>18</v>
      </c>
      <c r="C1" s="2"/>
    </row>
    <row r="2" spans="1:12" x14ac:dyDescent="0.4">
      <c r="D2" s="3"/>
    </row>
    <row r="3" spans="1:12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L3" t="s">
        <v>227</v>
      </c>
    </row>
    <row r="4" spans="1:12" x14ac:dyDescent="0.4">
      <c r="A4" t="s">
        <v>0</v>
      </c>
      <c r="B4" t="s">
        <v>159</v>
      </c>
      <c r="C4" s="3" t="str">
        <f>IF(Completeness!D4=1,"Sì","No")</f>
        <v>Sì</v>
      </c>
      <c r="D4" s="3">
        <v>6</v>
      </c>
      <c r="E4" s="3">
        <v>6</v>
      </c>
      <c r="F4" s="3">
        <v>4</v>
      </c>
      <c r="G4">
        <f>IF(D4+E4=0, 0, D4/(D4+E4))</f>
        <v>0.5</v>
      </c>
      <c r="H4">
        <f>IF(D4+F4=0, 0, D4/(D4+F4))</f>
        <v>0.6</v>
      </c>
      <c r="I4" s="3">
        <f>IF(G4+H4=0, 0,(2*G4*H4)/(G4+H4))</f>
        <v>0.54545454545454541</v>
      </c>
      <c r="J4" s="2" t="s">
        <v>178</v>
      </c>
    </row>
    <row r="5" spans="1:12" x14ac:dyDescent="0.4">
      <c r="A5" t="s">
        <v>1</v>
      </c>
      <c r="B5" t="s">
        <v>160</v>
      </c>
      <c r="C5" s="3" t="str">
        <f>IF(Completeness!D5=1,"Sì","No")</f>
        <v>Sì</v>
      </c>
      <c r="D5" s="3">
        <v>5</v>
      </c>
      <c r="E5" s="3">
        <v>0</v>
      </c>
      <c r="F5" s="3">
        <v>9</v>
      </c>
      <c r="G5">
        <f t="shared" ref="G5:G8" si="0">IF(D5+E5=0, 0, D5/(D5+E5))</f>
        <v>1</v>
      </c>
      <c r="H5">
        <f t="shared" ref="H5:H8" si="1">IF(D5+F5=0, 0, D5/(D5+F5))</f>
        <v>0.35714285714285715</v>
      </c>
      <c r="I5" s="3">
        <f t="shared" ref="I5:I8" si="2">IF(G5+H5=0, 0,(2*G5*H5)/(G5+H5))</f>
        <v>0.52631578947368418</v>
      </c>
      <c r="J5" s="2" t="s">
        <v>179</v>
      </c>
    </row>
    <row r="6" spans="1:12" x14ac:dyDescent="0.4">
      <c r="A6" t="s">
        <v>2</v>
      </c>
      <c r="B6" t="s">
        <v>161</v>
      </c>
      <c r="C6" s="3" t="str">
        <f>IF(Completeness!D6=1,"Sì","No")</f>
        <v>Sì</v>
      </c>
      <c r="D6" s="3">
        <v>10</v>
      </c>
      <c r="E6" s="3">
        <v>0</v>
      </c>
      <c r="F6" s="3">
        <v>4</v>
      </c>
      <c r="G6">
        <f t="shared" si="0"/>
        <v>1</v>
      </c>
      <c r="H6">
        <f t="shared" si="1"/>
        <v>0.7142857142857143</v>
      </c>
      <c r="I6" s="3">
        <f t="shared" si="2"/>
        <v>0.83333333333333326</v>
      </c>
      <c r="J6" s="2" t="s">
        <v>15</v>
      </c>
    </row>
    <row r="7" spans="1:12" x14ac:dyDescent="0.4">
      <c r="A7" t="s">
        <v>3</v>
      </c>
      <c r="B7" t="s">
        <v>162</v>
      </c>
      <c r="C7" s="3" t="str">
        <f>IF(Completeness!D7=1,"Sì","No")</f>
        <v>Sì</v>
      </c>
      <c r="D7" s="3">
        <v>4</v>
      </c>
      <c r="E7" s="3">
        <v>2</v>
      </c>
      <c r="F7" s="3">
        <v>11</v>
      </c>
      <c r="G7">
        <f t="shared" si="0"/>
        <v>0.66666666666666663</v>
      </c>
      <c r="H7">
        <f t="shared" si="1"/>
        <v>0.26666666666666666</v>
      </c>
      <c r="I7" s="3">
        <f t="shared" si="2"/>
        <v>0.38095238095238088</v>
      </c>
      <c r="J7" s="2" t="s">
        <v>16</v>
      </c>
    </row>
    <row r="8" spans="1:12" x14ac:dyDescent="0.4">
      <c r="A8" t="s">
        <v>4</v>
      </c>
      <c r="B8" t="s">
        <v>163</v>
      </c>
      <c r="C8" s="3" t="str">
        <f>IF(Completeness!D8=1,"Sì","No")</f>
        <v>Sì</v>
      </c>
      <c r="D8" s="3">
        <v>2</v>
      </c>
      <c r="E8" s="3">
        <v>2</v>
      </c>
      <c r="F8" s="3">
        <v>11</v>
      </c>
      <c r="G8">
        <f t="shared" si="0"/>
        <v>0.5</v>
      </c>
      <c r="H8">
        <f t="shared" si="1"/>
        <v>0.15384615384615385</v>
      </c>
      <c r="I8" s="3">
        <f t="shared" si="2"/>
        <v>0.23529411764705882</v>
      </c>
      <c r="J8" s="2" t="s">
        <v>17</v>
      </c>
    </row>
    <row r="9" spans="1:12" x14ac:dyDescent="0.4">
      <c r="C9" s="3"/>
      <c r="D9" s="3"/>
      <c r="E9" s="3"/>
      <c r="F9" s="3"/>
      <c r="G9" s="4">
        <f>IFERROR(SUM(G4:G8)/COUNTIF(C4:C8, "Sì"), 0)</f>
        <v>0.73333333333333328</v>
      </c>
      <c r="H9" s="4">
        <f>IFERROR(SUM(H4:H8)/COUNTIF(C4:C8, "Sì"), 0)</f>
        <v>0.4183882783882783</v>
      </c>
      <c r="I9" s="13">
        <f>IFERROR(SUM(I4:I8)/COUNTIF(C4:C8, "Sì"), 0)</f>
        <v>0.50427003337220044</v>
      </c>
    </row>
    <row r="10" spans="1:12" x14ac:dyDescent="0.4">
      <c r="B10" s="3"/>
      <c r="C10" s="3"/>
      <c r="D10" s="3"/>
    </row>
    <row r="11" spans="1:12" x14ac:dyDescent="0.4">
      <c r="B11" s="3"/>
      <c r="C11" s="3"/>
      <c r="D11" s="3"/>
    </row>
    <row r="12" spans="1:12" x14ac:dyDescent="0.4">
      <c r="A12" s="4" t="s">
        <v>19</v>
      </c>
      <c r="B12" s="3"/>
      <c r="C12" s="3"/>
      <c r="D12" s="3"/>
    </row>
    <row r="13" spans="1:12" x14ac:dyDescent="0.4">
      <c r="A13" t="s">
        <v>0</v>
      </c>
      <c r="B13" s="2" t="s">
        <v>214</v>
      </c>
      <c r="C13" s="3"/>
      <c r="D13" s="3"/>
    </row>
    <row r="14" spans="1:12" x14ac:dyDescent="0.4">
      <c r="A14" t="s">
        <v>1</v>
      </c>
      <c r="B14" s="2" t="s">
        <v>215</v>
      </c>
      <c r="C14" s="3"/>
      <c r="D14" s="3"/>
    </row>
    <row r="15" spans="1:12" x14ac:dyDescent="0.4">
      <c r="A15" t="s">
        <v>2</v>
      </c>
      <c r="B15" s="2" t="s">
        <v>216</v>
      </c>
      <c r="C15" s="3"/>
      <c r="D15" s="3"/>
    </row>
    <row r="16" spans="1:12" x14ac:dyDescent="0.4">
      <c r="A16" t="s">
        <v>3</v>
      </c>
      <c r="B16" s="2" t="s">
        <v>217</v>
      </c>
      <c r="C16" s="3"/>
      <c r="D16" s="3"/>
    </row>
    <row r="17" spans="1:12" x14ac:dyDescent="0.4">
      <c r="A17" t="s">
        <v>4</v>
      </c>
      <c r="B17" s="2" t="s">
        <v>218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0.50427003337220044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No</v>
      </c>
      <c r="D26" s="8">
        <v>0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No</v>
      </c>
      <c r="D27" s="8">
        <v>0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No</v>
      </c>
      <c r="D36" s="8">
        <v>0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No</v>
      </c>
      <c r="D37" s="8">
        <v>0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220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t="s">
        <v>221</v>
      </c>
      <c r="G50" s="6"/>
      <c r="I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t="s">
        <v>221</v>
      </c>
      <c r="G51" s="6"/>
      <c r="I51" s="6" t="s">
        <v>82</v>
      </c>
      <c r="P51" s="7" t="str">
        <f t="shared" ref="P51:P114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F52" t="s">
        <v>221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1</v>
      </c>
      <c r="E53" s="6" t="s">
        <v>93</v>
      </c>
      <c r="F53" t="s">
        <v>221</v>
      </c>
      <c r="G53" s="6"/>
      <c r="I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221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1</v>
      </c>
      <c r="E55" s="6" t="s">
        <v>94</v>
      </c>
      <c r="F55" t="s">
        <v>221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t="s">
        <v>221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t="s">
        <v>221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t="s">
        <v>221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0</v>
      </c>
      <c r="E59" s="6" t="s">
        <v>96</v>
      </c>
      <c r="F59" t="s">
        <v>221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t="s">
        <v>221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0</v>
      </c>
      <c r="E61" s="6" t="s">
        <v>97</v>
      </c>
      <c r="F61" t="s">
        <v>221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222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222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222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222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222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222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223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0</v>
      </c>
      <c r="E69" s="6" t="s">
        <v>101</v>
      </c>
      <c r="F69" t="s">
        <v>223</v>
      </c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t="s">
        <v>223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t="s">
        <v>223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223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0</v>
      </c>
      <c r="E73" s="6" t="s">
        <v>103</v>
      </c>
      <c r="F73" t="s">
        <v>223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223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0</v>
      </c>
      <c r="E75" s="6" t="s">
        <v>104</v>
      </c>
      <c r="F75" t="s">
        <v>223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223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0</v>
      </c>
      <c r="E77" s="6" t="s">
        <v>105</v>
      </c>
      <c r="F77" t="s">
        <v>223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223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0</v>
      </c>
      <c r="E79" s="6" t="s">
        <v>106</v>
      </c>
      <c r="F79" t="s">
        <v>223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222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1</v>
      </c>
      <c r="E81" s="6" t="s">
        <v>107</v>
      </c>
      <c r="F81" t="s">
        <v>222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222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1</v>
      </c>
      <c r="E83" s="6" t="s">
        <v>108</v>
      </c>
      <c r="F83" t="s">
        <v>222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222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1</v>
      </c>
      <c r="E85" s="6" t="s">
        <v>109</v>
      </c>
      <c r="F85" t="s">
        <v>222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t="s">
        <v>221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t="s">
        <v>221</v>
      </c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Sì</v>
      </c>
      <c r="D88" s="8">
        <v>1</v>
      </c>
      <c r="E88" s="6" t="s">
        <v>111</v>
      </c>
      <c r="F88" t="s">
        <v>221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Sì</v>
      </c>
      <c r="D89" s="8">
        <v>1</v>
      </c>
      <c r="E89" s="6" t="s">
        <v>111</v>
      </c>
      <c r="F89" t="s">
        <v>221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Sì</v>
      </c>
      <c r="D90" s="8">
        <v>1</v>
      </c>
      <c r="E90" s="6" t="s">
        <v>112</v>
      </c>
      <c r="F90" t="s">
        <v>221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Sì</v>
      </c>
      <c r="D91" s="8">
        <v>1</v>
      </c>
      <c r="E91" s="6" t="s">
        <v>112</v>
      </c>
      <c r="F91" t="s">
        <v>221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t="s">
        <v>221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t="s">
        <v>221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F94" t="s">
        <v>221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1</v>
      </c>
      <c r="E95" s="6" t="s">
        <v>114</v>
      </c>
      <c r="F95" t="s">
        <v>221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221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t="s">
        <v>221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t="s">
        <v>224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t="s">
        <v>224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t="s">
        <v>224</v>
      </c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F101" t="s">
        <v>224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224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224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1</v>
      </c>
      <c r="E104" s="6" t="s">
        <v>119</v>
      </c>
      <c r="F104" t="s">
        <v>225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t="s">
        <v>225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t="s">
        <v>225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t="s">
        <v>225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1</v>
      </c>
      <c r="E108" s="6" t="s">
        <v>121</v>
      </c>
      <c r="F108" t="s">
        <v>225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t="s">
        <v>225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222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222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222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222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222</v>
      </c>
      <c r="G114" s="6"/>
      <c r="H114" s="6"/>
      <c r="P114" s="7" t="str">
        <f t="shared" si="4"/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222</v>
      </c>
      <c r="G115" s="6"/>
      <c r="H115" s="6"/>
      <c r="P115" s="7" t="str">
        <f t="shared" ref="P115:P121" si="5">IF(MOD(ROW(), 2)=0, "Pari", "Dispari")</f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Sì</v>
      </c>
      <c r="D116" s="8">
        <v>1</v>
      </c>
      <c r="E116" s="6" t="s">
        <v>125</v>
      </c>
      <c r="F116" t="s">
        <v>221</v>
      </c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Sì</v>
      </c>
      <c r="D117" s="8">
        <v>1</v>
      </c>
      <c r="E117" s="6" t="s">
        <v>125</v>
      </c>
      <c r="F117" t="s">
        <v>221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t="s">
        <v>221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t="s">
        <v>221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Sì</v>
      </c>
      <c r="D120" s="8">
        <v>1</v>
      </c>
      <c r="E120" s="6" t="s">
        <v>127</v>
      </c>
      <c r="F120" t="s">
        <v>221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Sì</v>
      </c>
      <c r="D121" s="8">
        <v>1</v>
      </c>
      <c r="E121" s="6" t="s">
        <v>127</v>
      </c>
      <c r="F121" t="s">
        <v>221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0.87857142857142867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v>0</v>
      </c>
      <c r="H130" s="6">
        <f>IFERROR(D130/(D130+F130), 0)</f>
        <v>0</v>
      </c>
      <c r="I130">
        <f>IFERROR((2*G130*H130)/(G130+H130), 0)</f>
        <v>0</v>
      </c>
      <c r="J130" s="11" t="s">
        <v>213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12</v>
      </c>
      <c r="E131" s="8">
        <v>0</v>
      </c>
      <c r="F131" s="8">
        <v>18</v>
      </c>
      <c r="G131" s="6">
        <f>IFERROR(D131/(D131+E131), 0)</f>
        <v>1</v>
      </c>
      <c r="H131" s="6">
        <f>IFERROR(D131/(D131+F131), 0)</f>
        <v>0.4</v>
      </c>
      <c r="I131">
        <f>IFERROR((2*G131*H131)/(G131+H131), 0)</f>
        <v>0.57142857142857151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0.4</v>
      </c>
      <c r="I132" s="15">
        <f>IFERROR((I130+I131)/COUNTIF(C130:C131, "Sì"), 0)</f>
        <v>0.57142857142857151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0.57142857142857151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0)</f>
        <v>0.73856750834305018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7" zoomScale="59" workbookViewId="0">
      <selection activeCell="D4" sqref="D4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No</v>
      </c>
      <c r="D17" s="3">
        <v>0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No</v>
      </c>
      <c r="D22" s="3">
        <v>0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Sì</v>
      </c>
      <c r="D52" s="3">
        <v>1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Sì</v>
      </c>
      <c r="D53" s="3">
        <v>1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Sì</v>
      </c>
      <c r="D66" s="3">
        <v>1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Sì</v>
      </c>
      <c r="D68" s="3">
        <v>1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213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0)</f>
        <v>0.75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abSelected="1" topLeftCell="A119" zoomScale="75" zoomScaleNormal="89" workbookViewId="0">
      <selection activeCell="E140" sqref="E140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No</v>
      </c>
      <c r="D22" s="8">
        <v>0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No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No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No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Sì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Sì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Sì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Sì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Sì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Sì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Sì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Sì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213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213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1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1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0)</f>
        <v>0.45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zoomScale="83" zoomScaleNormal="83" workbookViewId="0">
      <selection activeCell="A51" sqref="A51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5</v>
      </c>
      <c r="E8" s="3">
        <f>1-((D8-1)/4)</f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1</v>
      </c>
      <c r="E18" s="3">
        <f t="shared" si="0"/>
        <v>1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6</v>
      </c>
      <c r="E19" s="3">
        <f t="shared" si="0"/>
        <v>0.54545454545454541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1</v>
      </c>
      <c r="E21" s="3">
        <f t="shared" si="0"/>
        <v>1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3</v>
      </c>
      <c r="E22" s="3">
        <f t="shared" si="0"/>
        <v>0.81818181818181812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3</v>
      </c>
      <c r="E23" s="3">
        <f t="shared" si="0"/>
        <v>0.81818181818181812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3</v>
      </c>
      <c r="E24" s="3">
        <f t="shared" si="0"/>
        <v>0.81818181818181812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3</v>
      </c>
      <c r="E25" s="3">
        <f t="shared" si="0"/>
        <v>0.81818181818181812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2</v>
      </c>
      <c r="E26" s="3">
        <f t="shared" si="0"/>
        <v>0.90909090909090906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3</v>
      </c>
      <c r="E28" s="3">
        <f t="shared" si="0"/>
        <v>0.81818181818181812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2</v>
      </c>
      <c r="E29" s="3">
        <f t="shared" si="0"/>
        <v>0.90909090909090906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1</v>
      </c>
      <c r="E30" s="3">
        <f t="shared" si="0"/>
        <v>1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3</v>
      </c>
      <c r="E31" s="3">
        <f t="shared" si="0"/>
        <v>0.81818181818181812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3</v>
      </c>
      <c r="E32" s="3">
        <f t="shared" si="0"/>
        <v>0.81818181818181812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3</v>
      </c>
      <c r="E33" s="3">
        <f t="shared" si="0"/>
        <v>0.81818181818181812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3</v>
      </c>
      <c r="E34" s="3">
        <f t="shared" si="0"/>
        <v>0.81818181818181812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Sì</v>
      </c>
      <c r="D36" s="3">
        <v>3</v>
      </c>
      <c r="E36" s="3">
        <f t="shared" si="0"/>
        <v>0.81818181818181812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Sì</v>
      </c>
      <c r="D37" s="3">
        <v>6</v>
      </c>
      <c r="E37" s="3">
        <f t="shared" si="0"/>
        <v>0.54545454545454541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3</v>
      </c>
      <c r="E39" s="3">
        <f t="shared" si="0"/>
        <v>0.81818181818181812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6</v>
      </c>
      <c r="E40" s="3">
        <f t="shared" si="0"/>
        <v>0.54545454545454541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3</v>
      </c>
      <c r="E42" s="3">
        <f t="shared" si="0"/>
        <v>0.81818181818181812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6</v>
      </c>
      <c r="E43" s="3">
        <f t="shared" si="0"/>
        <v>0.54545454545454541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1</v>
      </c>
      <c r="E44" s="3">
        <f t="shared" si="0"/>
        <v>1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6</v>
      </c>
      <c r="E46" s="3">
        <f t="shared" si="0"/>
        <v>0.54545454545454541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3</v>
      </c>
      <c r="E47" s="3">
        <f t="shared" si="0"/>
        <v>0.81818181818181812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3</v>
      </c>
      <c r="E48" s="3">
        <f t="shared" si="0"/>
        <v>0.81818181818181812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3</v>
      </c>
      <c r="E49" s="3">
        <f t="shared" si="0"/>
        <v>0.81818181818181812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Sì</v>
      </c>
      <c r="D50" s="3">
        <v>1</v>
      </c>
      <c r="E50" s="3">
        <f t="shared" si="0"/>
        <v>1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Sì</v>
      </c>
      <c r="D52" s="3">
        <v>6</v>
      </c>
      <c r="E52" s="3">
        <f t="shared" si="0"/>
        <v>0.54545454545454541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0.79870129870129869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"Sì")+COUNTIF(C55,"Sì")), "Non calcolabile")</f>
        <v>0.39935064935064934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2025-10-26T15:26:05Z</dcterms:modified>
</cp:coreProperties>
</file>