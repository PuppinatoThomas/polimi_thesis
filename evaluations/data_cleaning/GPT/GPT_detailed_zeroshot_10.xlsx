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1E0E3ABA-E5AF-44DF-A3CA-B5008DAC1BFA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6" i="5"/>
  <c r="E8" i="5"/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I130" i="2" l="1"/>
  <c r="H131" i="2"/>
  <c r="I131" i="2" s="1"/>
  <c r="H130" i="2"/>
  <c r="G131" i="2"/>
  <c r="G130" i="2"/>
  <c r="I5" i="2" l="1"/>
  <c r="H5" i="2"/>
  <c r="H6" i="2"/>
  <c r="H7" i="2"/>
  <c r="H8" i="2"/>
  <c r="H4" i="2"/>
  <c r="G5" i="2"/>
  <c r="G6" i="2"/>
  <c r="G7" i="2"/>
  <c r="G8" i="2"/>
  <c r="G4" i="2"/>
  <c r="C129" i="6"/>
  <c r="C128" i="6"/>
  <c r="C127" i="6"/>
  <c r="C126" i="6"/>
  <c r="C78" i="4"/>
  <c r="E5" i="5"/>
  <c r="E7" i="5"/>
  <c r="C131" i="2"/>
  <c r="C130" i="2"/>
  <c r="I7" i="2" l="1"/>
  <c r="I6" i="2"/>
  <c r="C134" i="2"/>
  <c r="I132" i="2"/>
  <c r="B134" i="2" s="1"/>
  <c r="G132" i="2"/>
  <c r="H132" i="2"/>
  <c r="C132" i="6"/>
  <c r="B132" i="6"/>
  <c r="C81" i="4"/>
  <c r="B81" i="4"/>
  <c r="I8" i="2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6" i="2"/>
  <c r="C7" i="2"/>
  <c r="C8" i="2"/>
  <c r="C5" i="2"/>
  <c r="B27" i="1"/>
  <c r="C20" i="2" l="1"/>
  <c r="C44" i="2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37" i="2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<sst xmlns="http://schemas.openxmlformats.org/spreadsheetml/2006/main" count="1249" uniqueCount="209">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</sst>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10" zoomScale="74" workbookViewId="0">
      <selection activeCell="D13" sqref="D13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0.6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1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0.875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0.33333333333333331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0.70208333333333339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abSelected="1" topLeftCell="A23" zoomScale="71" workbookViewId="0">
      <selection activeCell="D38" sqref="D38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0</v>
      </c>
      <c r="E4" s="3">
        <v>1</v>
      </c>
      <c r="F4" s="3">
        <v>8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3</v>
      </c>
      <c r="E6" s="3">
        <v>0</v>
      </c>
      <c r="F6" s="3">
        <v>6</v>
      </c>
      <c r="G6">
        <f t="shared" si="0"/>
        <v>1</v>
      </c>
      <c r="H6">
        <f t="shared" si="1"/>
        <v>0.33333333333333331</v>
      </c>
      <c r="I6" s="3">
        <f t="shared" si="2"/>
        <v>0.5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4</v>
      </c>
      <c r="E8" s="3">
        <v>0</v>
      </c>
      <c r="F8" s="3">
        <v>7</v>
      </c>
      <c r="G8">
        <f t="shared" si="0"/>
        <v>1</v>
      </c>
      <c r="H8">
        <f t="shared" si="1"/>
        <v>0.36363636363636365</v>
      </c>
      <c r="I8" s="3">
        <f t="shared" si="2"/>
        <v>0.53333333333333333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0.66666666666666663</v>
      </c>
      <c r="H9" s="4">
        <f>IFERROR(SUM(H4:H8)/COUNTIF(C4:C8, "Sì"), 0)</f>
        <v>0.23232323232323235</v>
      </c>
      <c r="I9" s="13">
        <f>IFERROR(SUM(I4:I8)/COUNTIF(C4:C8, "Sì"), 0)</f>
        <v>0.34444444444444439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198</v>
      </c>
      <c r="C13" s="3"/>
      <c r="D13" s="3"/>
    </row>
    <row r="14" spans="1:10" x14ac:dyDescent="0.4">
      <c r="A14" t="s">
        <v>1</v>
      </c>
      <c r="B14" s="2" t="s">
        <v>199</v>
      </c>
      <c r="C14" s="3"/>
      <c r="D14" s="3"/>
    </row>
    <row r="15" spans="1:10" x14ac:dyDescent="0.4">
      <c r="A15" t="s">
        <v>2</v>
      </c>
      <c r="B15" s="2" t="s">
        <v>200</v>
      </c>
      <c r="C15" s="3"/>
      <c r="D15" s="3"/>
    </row>
    <row r="16" spans="1:10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0.34444444444444439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Sì</v>
      </c>
      <c r="D34" s="8">
        <v>1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Sì</v>
      </c>
      <c r="D35" s="8">
        <v>1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203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t="s">
        <v>204</v>
      </c>
      <c r="G50" s="6"/>
      <c r="I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t="s">
        <v>204</v>
      </c>
      <c r="G51" s="6"/>
      <c r="I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t="s">
        <v>204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t="s">
        <v>204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t="s">
        <v>204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t="s">
        <v>204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204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204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t="s">
        <v>204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t="s">
        <v>204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t="s">
        <v>204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t="s">
        <v>204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205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205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205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205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205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205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206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0</v>
      </c>
      <c r="E69" s="6" t="s">
        <v>101</v>
      </c>
      <c r="F69" t="s">
        <v>206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206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0</v>
      </c>
      <c r="E71" s="6" t="s">
        <v>102</v>
      </c>
      <c r="F71" t="s">
        <v>206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206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0</v>
      </c>
      <c r="E73" s="6" t="s">
        <v>103</v>
      </c>
      <c r="F73" t="s">
        <v>206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206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206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206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206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206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206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t="s">
        <v>205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t="s">
        <v>205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t="s">
        <v>205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t="s">
        <v>205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t="s">
        <v>205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t="s">
        <v>205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204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204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204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204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204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204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t="s">
        <v>204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t="s">
        <v>204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t="s">
        <v>204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t="s">
        <v>204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t="s">
        <v>204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t="s">
        <v>204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t="s">
        <v>207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t="s">
        <v>207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t="s">
        <v>207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t="s">
        <v>207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t="s">
        <v>207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t="s">
        <v>207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t="s">
        <v>208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t="s">
        <v>208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t="s">
        <v>208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t="s">
        <v>208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t="s">
        <v>208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t="s">
        <v>208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205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205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205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205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205</v>
      </c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205</v>
      </c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204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204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204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204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t="s">
        <v>204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t="s">
        <v>204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0.85000000000000009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5</v>
      </c>
      <c r="E131" s="8">
        <v>0</v>
      </c>
      <c r="F131" s="8">
        <v>5</v>
      </c>
      <c r="G131" s="6">
        <f>IFERROR(D131/(D131+E131), 0)</f>
        <v>1</v>
      </c>
      <c r="H131" s="6">
        <f>IFERROR(D131/(D131+F131), 0)</f>
        <v>0.5</v>
      </c>
      <c r="I131">
        <f>IFERROR((2*G131*H131)/(G131+H131), 0)</f>
        <v>0.66666666666666663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0.5</v>
      </c>
      <c r="I132" s="15">
        <f>IFERROR((I130+I131)/COUNTIF(C130:C131, "Sì"), 0)</f>
        <v>0.66666666666666663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0.66666666666666663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0.71527777777777779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zoomScale="56" zoomScaleNormal="100" workbookViewId="0">
      <selection activeCell="E12" sqref="E12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Sì</v>
      </c>
      <c r="D21" s="3">
        <v>1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9" zoomScale="55" workbookViewId="0">
      <selection activeCell="I8" sqref="I8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0.80000000000000016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Sì</v>
      </c>
      <c r="D30" s="8">
        <v>1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Sì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0.80000000000000016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zoomScale="68" workbookViewId="0">
      <selection activeCell="D10" sqref="D10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3</v>
      </c>
      <c r="E4" s="3">
        <f>1-((D4-1)/4)</f>
        <v>0.5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3</v>
      </c>
      <c r="E6" s="3">
        <f>1-((D6-1)/4)</f>
        <v>0.5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3</v>
      </c>
      <c r="E8" s="3">
        <f>1-((D8-1)/4)</f>
        <v>0.5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1</v>
      </c>
      <c r="E23" s="3">
        <f t="shared" si="0"/>
        <v>1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1</v>
      </c>
      <c r="E24" s="3">
        <f t="shared" si="0"/>
        <v>1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1</v>
      </c>
      <c r="E25" s="3">
        <f t="shared" si="0"/>
        <v>1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1</v>
      </c>
      <c r="E26" s="3">
        <f t="shared" si="0"/>
        <v>1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1</v>
      </c>
      <c r="E27" s="3">
        <f t="shared" si="0"/>
        <v>1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1</v>
      </c>
      <c r="E28" s="3">
        <f t="shared" si="0"/>
        <v>1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1</v>
      </c>
      <c r="E29" s="3">
        <f t="shared" si="0"/>
        <v>1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1</v>
      </c>
      <c r="E30" s="3">
        <f t="shared" si="0"/>
        <v>1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1</v>
      </c>
      <c r="E31" s="3">
        <f t="shared" si="0"/>
        <v>1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1</v>
      </c>
      <c r="E47" s="3">
        <f t="shared" si="0"/>
        <v>1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1</v>
      </c>
      <c r="E48" s="3">
        <f t="shared" si="0"/>
        <v>1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1</v>
      </c>
      <c r="E49" s="3">
        <f t="shared" si="0"/>
        <v>1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1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(B11+B55)/(COUNTIF(C11, "Sì")+COUNTIF(C55, "Sì"))</f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12" sqref="B12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2025-10-26T17:18:40Z</dcterms:modified>
</cp:coreProperties>
</file>