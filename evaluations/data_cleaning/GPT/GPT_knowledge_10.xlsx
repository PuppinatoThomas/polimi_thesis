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PT\"/>
    </mc:Choice>
  </mc:AlternateContent>
  <xr:revisionPtr revIDLastSave="0" documentId="13_ncr:1_{B27D9E38-7BE0-4D3C-ABB2-E03572321D60}" xr6:coauthVersionLast="47" xr6:coauthVersionMax="47" xr10:uidLastSave="{00000000-0000-0000-0000-000000000000}"/>
  <bookViews>
    <workbookView xWindow="-110" yWindow="-110" windowWidth="19420" windowHeight="10420" activeTab="1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I130" i="2" l="1"/>
  <c r="H131" i="2"/>
  <c r="H130" i="2"/>
  <c r="G131" i="2"/>
  <c r="I131" i="2" s="1"/>
  <c r="G130" i="2"/>
  <c r="I5" i="2" l="1"/>
  <c r="I6" i="2"/>
  <c r="H5" i="2"/>
  <c r="H6" i="2"/>
  <c r="H7" i="2"/>
  <c r="H8" i="2"/>
  <c r="H4" i="2"/>
  <c r="G5" i="2"/>
  <c r="G6" i="2"/>
  <c r="G7" i="2"/>
  <c r="G8" i="2"/>
  <c r="G4" i="2"/>
  <c r="C129" i="6"/>
  <c r="C128" i="6"/>
  <c r="C127" i="6"/>
  <c r="C126" i="6"/>
  <c r="C78" i="4"/>
  <c r="E5" i="5"/>
  <c r="E6" i="5"/>
  <c r="E7" i="5"/>
  <c r="E8" i="5"/>
  <c r="E4" i="5"/>
  <c r="C131" i="2"/>
  <c r="C130" i="2"/>
  <c r="C134" i="2" l="1"/>
  <c r="H132" i="2"/>
  <c r="G132" i="2"/>
  <c r="I132" i="2"/>
  <c r="B134" i="2" s="1"/>
  <c r="C132" i="6"/>
  <c r="B132" i="6"/>
  <c r="C81" i="4"/>
  <c r="B81" i="4"/>
  <c r="I7" i="2"/>
  <c r="I8" i="2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71" i="4" l="1"/>
  <c r="C55" i="5"/>
  <c r="B120" i="6"/>
  <c r="C120" i="6"/>
  <c r="C124" i="2"/>
  <c r="B124" i="2"/>
  <c r="B71" i="4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4" i="2"/>
  <c r="C20" i="2" s="1"/>
  <c r="C6" i="2"/>
  <c r="C7" i="2"/>
  <c r="C8" i="2"/>
  <c r="C5" i="2"/>
  <c r="B27" i="1"/>
  <c r="C44" i="2" l="1"/>
  <c r="B44" i="2"/>
  <c r="B27" i="4"/>
  <c r="C27" i="4"/>
  <c r="C40" i="6"/>
  <c r="B40" i="6"/>
  <c r="I9" i="2"/>
  <c r="B20" i="2" s="1"/>
  <c r="H9" i="2"/>
  <c r="G9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6" i="6" l="1"/>
  <c r="B137" i="2"/>
  <c r="C11" i="5"/>
  <c r="C11" i="4"/>
  <c r="B11" i="5"/>
  <c r="B16" i="6"/>
  <c r="B135" i="6" s="1"/>
  <c r="B11" i="4"/>
  <c r="B58" i="5" l="1"/>
  <c r="B84" i="4"/>
</calcChain>
</file>

<file path=xl/sharedStrings.xml><?xml version="1.0" encoding="utf-8"?>
<sst xmlns="http://schemas.openxmlformats.org/spreadsheetml/2006/main" count="1176" uniqueCount="203">
  <si>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</si>
  <si>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</si>
  <si>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</si>
  <si>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</si>
  <si>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</si>
  <si>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</si>
  <si>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</si>
  <si>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</si>
  <si>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</si>
  <si>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</si>
  <si>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</si>
  <si>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</si>
  <si>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</si>
  <si>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</si>
  <si>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</si>
  <si>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</si>
  <si>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</si>
  <si>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</si>
  <si>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</si>
  <si>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</si>
  <si>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</si>
  <si>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</si>
  <si>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</si>
  <si>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</si>
  <si>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</si>
  <si>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</si>
  <si>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</si>
  <si>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</si>
  <si>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</si>
  <si>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</si>
  <si>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</si>
  <si>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</si>
  <si>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</si>
  <si>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</si>
  <si>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</si>
  <si>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</si>
  <si>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</si>
  <si>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</si>
  <si>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</si>
  <si>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</si>
  <si>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</si>
  <si>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</si>
  <si>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</si>
  <si>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</si>
  <si>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</si>
  <si>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</si>
  <si>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</si>
  <si>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</si>
  <si>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</si>
  <si>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</si>
  <si>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</si>
  <si>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</si>
  <si>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</si>
  <si>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</si>
  <si>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</si>
  <si>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</si>
  <si>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</si>
  <si>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</si>
  <si>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</si>
  <si>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</si>
  <si>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</si>
  <si>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</si>
  <si>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</si>
  <si>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</si>
  <si>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</si>
  <si>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</si>
  <si>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</si>
  <si>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</si>
  <si>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</si>
  <si>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</si>
  <si>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</si>
  <si>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</si>
  <si>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</si>
  <si>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</si>
  <si>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</si>
  <si>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</si>
  <si>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</si>
  <si>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</si>
  <si>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</si>
  <si>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</si>
  <si>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</si>
  <si>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</si>
  <si>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</si>
  <si>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</si>
  <si>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</si>
  <si>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</si>
  <si>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</si>
  <si>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</si>
  <si>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</si>
  <si>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</si>
  <si>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</si>
  <si>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</si>
  <si>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</si>
  <si>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</si>
  <si>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</si>
  <si>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</si>
  <si>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</si>
  <si>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</si>
  <si>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</si>
  <si>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</si>
  <si>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</si>
  <si>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</si>
  <si>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</si>
  <si>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</si>
  <si>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</si>
  <si>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</si>
  <si>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</si>
  <si>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</si>
  <si>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</si>
  <si>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</si>
  <si>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</si>
  <si>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</si>
  <si>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</si>
  <si>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</si>
  <si>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</si>
  <si>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</si>
  <si>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</si>
  <si>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</si>
  <si>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</si>
  <si>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</si>
  <si>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</si>
  <si>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</si>
  <si>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</si>
  <si>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</si>
  <si>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</si>
  <si>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</si>
  <si>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</si>
  <si>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</si>
  <si>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</si>
  <si>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</si>
  <si>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</si>
  <si>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</si>
  <si>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</si>
  <si>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</si>
  <si>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</si>
  <si>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</si>
  <si>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</si>
  <si>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</si>
  <si>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</si>
  <si>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</si>
  <si>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</si>
  <si>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</si>
  <si>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</si>
  <si>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</si>
  <si>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</si>
  <si>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</si>
  <si>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</si>
  <si>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</si>
  <si>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</si>
  <si>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</si>
  <si>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</si>
  <si>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</si>
  <si>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</si>
  <si>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</si>
  <si>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</si>
  <si>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</si>
  <si>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</si>
  <si>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</si>
  <si>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</si>
  <si>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</si>
  <si>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</si>
  <si>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</si>
  <si>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</si>
  <si>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</si>
  <si>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</si>
  <si>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</si>
  <si>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</si>
  <si>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</si>
  <si>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</si>
  <si>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</si>
  <si>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</si>
  <si>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</si>
  <si>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</si>
  <si>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</si>
  <si>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</si>
  <si>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</si>
  <si>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</si>
  <si>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</si>
  <si>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</si>
  <si>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</si>
  <si>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</si>
  <si>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</si>
  <si>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</si>
  <si>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</si>
  <si>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</si>
  <si>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</si>
  <si>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</si>
  <si>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6 - 76</t>
  </si>
  <si>
    <t>13 - 99</t>
  </si>
  <si>
    <t>16 - 85 - 92</t>
  </si>
  <si>
    <t>26 - 40</t>
  </si>
  <si>
    <t>35 - 50</t>
  </si>
  <si>
    <t>37 - 59</t>
  </si>
  <si>
    <t>42 - 68 - 78</t>
  </si>
  <si>
    <t>66 - 69</t>
  </si>
  <si>
    <t>menziona o fa l'exact matching</t>
  </si>
  <si>
    <t>menziona o fa il non-exact matching</t>
  </si>
  <si>
    <t>Completeness!B77</t>
  </si>
  <si>
    <t>1075000.0, 1075000.0, 1150000.0, 1300000.0, 1979000.0, 2199000.0, 2365000.0, 2450000.0</t>
  </si>
  <si>
    <t>1, 6, 8, 8, 8, 12</t>
  </si>
  <si>
    <t>5, 5, 5, 6, 6, 7, 11, 12, 12</t>
  </si>
  <si>
    <t>0.7, 0.86, 0.9, 1.04, 1.08, 2.12, 3.0, 4.44, 8.36, 9.0, 10.0, 10.0, 14.25, 27.59, 35.0</t>
  </si>
  <si>
    <t>12.0, 85.0, 230.0, 280.0, 3650.0, 3765.0, 3789.0, 4145.0, 4156.0, 4758.0, 5828.0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</si>
</sst>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59" zoomScale="49" workbookViewId="0">
      <selection activeCell="D78" sqref="D78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0.6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1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0.875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1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8.3333333333333329E-2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195</v>
      </c>
      <c r="C77" s="3" t="s">
        <v>182</v>
      </c>
      <c r="D77" s="3">
        <v>0</v>
      </c>
    </row>
    <row r="78" spans="1:4" x14ac:dyDescent="0.4">
      <c r="B78" t="s">
        <v>196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0.63958333333333339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42"/>
  <sheetViews>
    <sheetView tabSelected="1" topLeftCell="A111" zoomScale="47" workbookViewId="0">
      <selection activeCell="E136" sqref="E136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Sì</v>
      </c>
      <c r="D4" s="3">
        <v>0</v>
      </c>
      <c r="E4" s="3">
        <v>1</v>
      </c>
      <c r="F4" s="3">
        <v>8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Sì</v>
      </c>
      <c r="D7" s="3">
        <v>0</v>
      </c>
      <c r="E7" s="3">
        <v>1</v>
      </c>
      <c r="F7" s="3">
        <v>15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4</v>
      </c>
      <c r="E8" s="3">
        <v>0</v>
      </c>
      <c r="F8" s="3">
        <v>7</v>
      </c>
      <c r="G8">
        <f t="shared" si="0"/>
        <v>1</v>
      </c>
      <c r="H8">
        <f t="shared" si="1"/>
        <v>0.36363636363636365</v>
      </c>
      <c r="I8" s="3">
        <f t="shared" si="2"/>
        <v>0.53333333333333333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0.33333333333333331</v>
      </c>
      <c r="H9" s="4">
        <f>IFERROR(SUM(H4:H8)/COUNTIF(C4:C8, "Sì"), 0)</f>
        <v>0.12121212121212122</v>
      </c>
      <c r="I9" s="13">
        <f>IFERROR(SUM(I4:I8)/COUNTIF(C4:C8, "Sì"), 0)</f>
        <v>0.17777777777777778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198</v>
      </c>
      <c r="C13" s="3"/>
      <c r="D13" s="3"/>
    </row>
    <row r="14" spans="1:10" x14ac:dyDescent="0.4">
      <c r="A14" t="s">
        <v>1</v>
      </c>
      <c r="B14" s="2" t="s">
        <v>199</v>
      </c>
      <c r="C14" s="3"/>
      <c r="D14" s="3"/>
    </row>
    <row r="15" spans="1:10" x14ac:dyDescent="0.4">
      <c r="A15" t="s">
        <v>2</v>
      </c>
      <c r="B15" s="2" t="s">
        <v>200</v>
      </c>
      <c r="C15" s="3"/>
      <c r="D15" s="3"/>
    </row>
    <row r="16" spans="1:10" x14ac:dyDescent="0.4">
      <c r="A16" t="s">
        <v>3</v>
      </c>
      <c r="B16" s="2" t="s">
        <v>201</v>
      </c>
      <c r="C16" s="3"/>
      <c r="D16" s="3"/>
    </row>
    <row r="17" spans="1:12" x14ac:dyDescent="0.4">
      <c r="A17" t="s">
        <v>4</v>
      </c>
      <c r="B17" s="2" t="s">
        <v>202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0.17777777777777778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Sì</v>
      </c>
      <c r="D34" s="8">
        <v>1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Sì</v>
      </c>
      <c r="D35" s="8">
        <v>1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1.0000000000000002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 t="shared" ref="P50:P113" si="4"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si="4"/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Sì</v>
      </c>
      <c r="D56" s="8">
        <v>1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Sì</v>
      </c>
      <c r="D57" s="8">
        <v>1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1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1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 t="shared" ref="P114:P121" si="5"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si="5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1.0000000000000002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197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4</v>
      </c>
      <c r="E131" s="8">
        <v>0</v>
      </c>
      <c r="F131" s="8">
        <v>6</v>
      </c>
      <c r="G131" s="6">
        <f>IFERROR(D131/(D131+E131), 0)</f>
        <v>1</v>
      </c>
      <c r="H131" s="6">
        <f>IFERROR(D131/(D131+F131), 0)</f>
        <v>0.4</v>
      </c>
      <c r="I131">
        <f>IFERROR((2*G131*H131)/(G131+H131), 0)</f>
        <v>0.57142857142857151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0.4</v>
      </c>
      <c r="I132" s="15">
        <f>IFERROR((I130+I131)/COUNTIF(C130:C131, "Sì"), 0)</f>
        <v>0.57142857142857151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0.57142857142857151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(B20+B44+B124+B134)/(COUNTIF(C20,"Sì")+COUNTIF(C44,"Sì")+COUNTIF(C124,"Sì")+COUNTIF(C134,"Sì"))</f>
        <v>0.68730158730158741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4" zoomScale="56" zoomScaleNormal="100" workbookViewId="0">
      <selection activeCell="D78" sqref="D78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Sì</v>
      </c>
      <c r="D21" s="3">
        <v>1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Sì</v>
      </c>
      <c r="D36" s="3">
        <v>1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197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(B11+B27+B71+B81)/(COUNTIF(C11, "Sì")+COUNTIF(C27, "Sì")+COUNTIF(C71, "Sì")+COUNTIF(C81, "Sì"))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13" zoomScale="55" workbookViewId="0">
      <selection activeCell="D128" sqref="D128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0.80000000000000016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Sì</v>
      </c>
      <c r="D30" s="8">
        <v>1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Sì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Sì</v>
      </c>
      <c r="D52" s="8">
        <v>1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Sì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1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1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0.80000000000000016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197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197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(B16+B40+B120+B132)/(COUNTIF(C16, "Sì")+COUNTIF(C40, "Sì")+COUNTIF(C120, "Sì")+COUNTIF(C132, "Sì"))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zoomScale="52" workbookViewId="0">
      <selection activeCell="T39" sqref="T39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3</v>
      </c>
      <c r="E4" s="3">
        <f>1-((D4-1)/4)</f>
        <v>0.5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3</v>
      </c>
      <c r="E7" s="3">
        <f>1-((D7-1)/4)</f>
        <v>0.5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3</v>
      </c>
      <c r="E8" s="3">
        <f>1-((D8-1)/4)</f>
        <v>0.5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0.5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0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Sì</v>
      </c>
      <c r="D20" s="3">
        <v>1</v>
      </c>
      <c r="E20" s="3">
        <f t="shared" si="0"/>
        <v>1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1</v>
      </c>
      <c r="E21" s="3">
        <f t="shared" si="0"/>
        <v>1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1</v>
      </c>
      <c r="E22" s="3">
        <f t="shared" si="0"/>
        <v>1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0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0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0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0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0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0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0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0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0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0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0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1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(B11+B55)/(COUNTIF(C11, "Sì")+COUNTIF(C55, "Sì"))</f>
        <v>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69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2025-10-26T18:37:54Z</dcterms:modified>
</cp:coreProperties>
</file>