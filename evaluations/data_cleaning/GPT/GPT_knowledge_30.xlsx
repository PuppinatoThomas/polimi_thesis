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38EF4A87-D8EB-4CB8-B7F0-C6BB893D2C38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7" i="2"/>
  <c r="C6" i="2"/>
  <c r="C5" i="2"/>
  <c r="C4" i="2"/>
  <c r="C131" i="2"/>
  <c r="C130" i="2"/>
  <c r="H131" i="2"/>
  <c r="G131" i="2"/>
  <c r="H130" i="2"/>
  <c r="I130" i="2"/>
  <c r="H8" i="2"/>
  <c r="G8" i="2"/>
  <c r="H7" i="2"/>
  <c r="I7" i="2" s="1"/>
  <c r="G7" i="2"/>
  <c r="H6" i="2"/>
  <c r="G6" i="2"/>
  <c r="H5" i="2"/>
  <c r="I5" i="2" s="1"/>
  <c r="G5" i="2"/>
  <c r="H4" i="2"/>
  <c r="G4" i="2"/>
  <c r="C129" i="6"/>
  <c r="C128" i="6"/>
  <c r="C127" i="6"/>
  <c r="C126" i="6"/>
  <c r="C78" i="4"/>
  <c r="E5" i="5"/>
  <c r="E6" i="5"/>
  <c r="E7" i="5"/>
  <c r="E8" i="5"/>
  <c r="E4" i="5"/>
  <c r="I131" i="2" l="1"/>
  <c r="C132" i="6"/>
  <c r="I4" i="2"/>
  <c r="I6" i="2"/>
  <c r="C20" i="2"/>
  <c r="G9" i="2"/>
  <c r="B132" i="6"/>
  <c r="I132" i="2"/>
  <c r="B134" i="2" s="1"/>
  <c r="H132" i="2"/>
  <c r="I8" i="2"/>
  <c r="I9" i="2" s="1"/>
  <c r="B20" i="2" s="1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B124" i="2" s="1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120" i="6" l="1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44" i="2" l="1"/>
  <c r="C44" i="2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37" i="2" l="1"/>
  <c r="C11" i="5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<sst xmlns="http://schemas.openxmlformats.org/spreadsheetml/2006/main" count="1192" uniqueCount="219">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</sst>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" zoomScale="64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abSelected="1" topLeftCell="A126" zoomScale="66" workbookViewId="0">
      <selection activeCell="F132" sqref="F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4</v>
      </c>
      <c r="E4" s="3">
        <v>0</v>
      </c>
      <c r="F4" s="3">
        <v>6</v>
      </c>
      <c r="G4">
        <f>IF(D4+E4=0, 0, D4/(D4+E4))</f>
        <v>1</v>
      </c>
      <c r="H4">
        <f>IF(D4+F4=0, 0, D4/(D4+F4))</f>
        <v>0.4</v>
      </c>
      <c r="I4" s="3">
        <f>IF(G4+H4=0, 0,(2*G4*H4)/(G4+H4))</f>
        <v>0.57142857142857151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0</v>
      </c>
      <c r="E5" s="3">
        <v>0</v>
      </c>
      <c r="F5" s="3">
        <v>14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0</v>
      </c>
      <c r="E6" s="3">
        <v>0</v>
      </c>
      <c r="F6" s="3">
        <v>14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9</v>
      </c>
      <c r="E7" s="3">
        <v>0</v>
      </c>
      <c r="F7" s="3">
        <v>6</v>
      </c>
      <c r="G7">
        <f t="shared" si="0"/>
        <v>1</v>
      </c>
      <c r="H7">
        <f t="shared" si="1"/>
        <v>0.6</v>
      </c>
      <c r="I7" s="3">
        <f t="shared" si="2"/>
        <v>0.74999999999999989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8</v>
      </c>
      <c r="E8" s="3">
        <v>0</v>
      </c>
      <c r="F8" s="3">
        <v>5</v>
      </c>
      <c r="G8">
        <f t="shared" si="0"/>
        <v>1</v>
      </c>
      <c r="H8">
        <f t="shared" si="1"/>
        <v>0.61538461538461542</v>
      </c>
      <c r="I8" s="3">
        <f t="shared" si="2"/>
        <v>0.76190476190476197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0.6</v>
      </c>
      <c r="H9" s="4">
        <f>IFERROR(SUM(H4:H8)/COUNTIF(C4:C8, "Sì"), 0)</f>
        <v>0.32307692307692309</v>
      </c>
      <c r="I9" s="13">
        <f>IFERROR(SUM(I4:I8)/COUNTIF(C4:C8, "Sì"), 0)</f>
        <v>0.41666666666666669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0.41666666666666669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3</v>
      </c>
      <c r="E131" s="8">
        <v>0</v>
      </c>
      <c r="F131" s="8">
        <v>27</v>
      </c>
      <c r="G131" s="6">
        <f>IFERROR(D131/(D131+E131), 0)</f>
        <v>1</v>
      </c>
      <c r="H131" s="6">
        <f>IFERROR(D131/(D131+F131), 0)</f>
        <v>0.1</v>
      </c>
      <c r="I131">
        <f>IFERROR((2*G131*H131)/(G131+H131), 0)</f>
        <v>0.18181818181818182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0.1</v>
      </c>
      <c r="I132" s="15">
        <f>IFERROR((I130+I131)/COUNTIF(C130:C131, "Sì"), 0)</f>
        <v>0.18181818181818182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0.18181818181818182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0.53282828282828298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2" zoomScale="59" workbookViewId="0">
      <selection activeCell="D78" sqref="D7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3" zoomScale="66" workbookViewId="0">
      <selection activeCell="C136" sqref="C136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2" zoomScale="64" workbookViewId="0">
      <selection activeCell="I15" sqref="I15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2</v>
      </c>
      <c r="E4" s="3">
        <f>1-((D4-1)/4)</f>
        <v>0.75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3</v>
      </c>
      <c r="E5" s="3">
        <f>1-((D5-1)/4)</f>
        <v>0.5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3</v>
      </c>
      <c r="E6" s="3">
        <f>1-((D6-1)/4)</f>
        <v>0.5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2</v>
      </c>
      <c r="E7" s="3">
        <f>1-((D7-1)/4)</f>
        <v>0.75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0.6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2025-10-26T18:38:07Z</dcterms:modified>
</cp:coreProperties>
</file>