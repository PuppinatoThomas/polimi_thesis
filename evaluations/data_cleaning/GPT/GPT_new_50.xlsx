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DBF7D91F-1E87-4050-9D7F-6B2D7031A364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4" i="2"/>
  <c r="C20" i="2"/>
  <c r="C11" i="4"/>
  <c r="C81" i="4"/>
  <c r="C16" i="6"/>
  <c r="C132" i="6"/>
  <c r="C11" i="5"/>
  <c r="B11" i="5"/>
  <c r="B132" i="6"/>
  <c r="B16" i="6"/>
  <c r="B81" i="4"/>
  <c r="B11" i="4"/>
  <c r="C131" i="2"/>
  <c r="C130" i="2"/>
  <c r="H131" i="2"/>
  <c r="I131" i="2" s="1"/>
  <c r="G131" i="2"/>
  <c r="H130" i="2"/>
  <c r="G130" i="2"/>
  <c r="I130" i="2" s="1"/>
  <c r="G132" i="2"/>
  <c r="B20" i="2"/>
  <c r="C8" i="2"/>
  <c r="C7" i="2"/>
  <c r="C6" i="2"/>
  <c r="C5" i="2"/>
  <c r="C4" i="2"/>
  <c r="H8" i="2"/>
  <c r="I8" i="2" s="1"/>
  <c r="G8" i="2"/>
  <c r="G9" i="2"/>
  <c r="I7" i="2"/>
  <c r="H7" i="2"/>
  <c r="G7" i="2"/>
  <c r="H6" i="2"/>
  <c r="I6" i="2" s="1"/>
  <c r="G6" i="2"/>
  <c r="I5" i="2"/>
  <c r="H5" i="2"/>
  <c r="G5" i="2"/>
  <c r="H4" i="2"/>
  <c r="H9" i="2" s="1"/>
  <c r="G4" i="2"/>
  <c r="C129" i="6"/>
  <c r="C128" i="6"/>
  <c r="C127" i="6"/>
  <c r="C126" i="6"/>
  <c r="C78" i="4"/>
  <c r="E5" i="5"/>
  <c r="E6" i="5"/>
  <c r="E7" i="5"/>
  <c r="E8" i="5"/>
  <c r="E4" i="5"/>
  <c r="H132" i="2" l="1"/>
  <c r="I132" i="2"/>
  <c r="B134" i="2" s="1"/>
  <c r="I4" i="2"/>
  <c r="I9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B84" i="1" s="1"/>
  <c r="B58" i="5" l="1"/>
  <c r="C27" i="4"/>
  <c r="B27" i="4"/>
  <c r="B84" i="4" s="1"/>
  <c r="C40" i="6"/>
  <c r="B40" i="6"/>
  <c r="C44" i="2"/>
  <c r="B44" i="2"/>
  <c r="B137" i="2" s="1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135" i="6" l="1"/>
</calcChain>
</file>

<file path=xl/sharedStrings.xml><?xml version="1.0" encoding="utf-8"?>
<sst xmlns="http://schemas.openxmlformats.org/spreadsheetml/2006/main" count="1209" uniqueCount="236">
  <si>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</si>
  <si>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</si>
  <si>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</si>
  <si>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</si>
  <si>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</si>
  <si>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</si>
  <si>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</si>
  <si>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</si>
  <si>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</si>
  <si>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</si>
  <si>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</si>
  <si>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</si>
  <si>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</si>
  <si>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</si>
  <si>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</si>
  <si>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</si>
  <si>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</si>
  <si>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</si>
  <si>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</si>
  <si>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</si>
  <si>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</si>
  <si>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</si>
  <si>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</si>
  <si>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</si>
  <si>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</si>
  <si>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</si>
  <si>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</si>
  <si>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</si>
  <si>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</si>
  <si>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</si>
  <si>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</si>
  <si>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</si>
  <si>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</si>
  <si>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</si>
  <si>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</si>
  <si>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</si>
  <si>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</si>
  <si>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</si>
  <si>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</si>
  <si>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</si>
  <si>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</si>
  <si>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</si>
  <si>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</si>
  <si>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</si>
  <si>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</si>
  <si>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</si>
  <si>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</si>
  <si>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</si>
  <si>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</si>
  <si>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</si>
  <si>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</si>
  <si>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</si>
  <si>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</si>
  <si>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</si>
  <si>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</si>
  <si>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</si>
  <si>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</si>
  <si>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</si>
  <si>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</si>
  <si>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</si>
  <si>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</si>
  <si>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</si>
  <si>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</si>
  <si>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</si>
  <si>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</si>
  <si>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</si>
  <si>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</si>
  <si>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</si>
  <si>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</si>
  <si>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</si>
  <si>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</si>
  <si>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</si>
  <si>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</si>
  <si>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</si>
  <si>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</si>
  <si>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</si>
  <si>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</si>
  <si>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</si>
  <si>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</si>
  <si>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</si>
  <si>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</si>
  <si>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</si>
  <si>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</si>
  <si>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</si>
  <si>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</si>
  <si>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</si>
  <si>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</si>
  <si>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</si>
  <si>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</si>
  <si>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</si>
  <si>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</si>
  <si>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</si>
  <si>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</si>
  <si>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</si>
  <si>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</si>
  <si>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</si>
  <si>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</si>
  <si>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</si>
  <si>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</si>
  <si>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</si>
  <si>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</si>
  <si>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</si>
  <si>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</si>
  <si>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</si>
  <si>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</si>
  <si>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</si>
  <si>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</si>
  <si>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</si>
  <si>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</si>
  <si>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</si>
  <si>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</si>
  <si>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</si>
  <si>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</si>
  <si>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</si>
  <si>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</si>
  <si>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</si>
  <si>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</si>
  <si>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</si>
  <si>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</si>
  <si>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</si>
  <si>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</si>
  <si>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</si>
  <si>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</si>
  <si>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</si>
  <si>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</si>
  <si>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</si>
  <si>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</si>
  <si>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</si>
  <si>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</si>
  <si>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</si>
  <si>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</si>
  <si>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</si>
  <si>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</si>
  <si>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</si>
  <si>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</si>
  <si>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</si>
  <si>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</si>
  <si>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</si>
  <si>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</si>
  <si>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</si>
  <si>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</si>
  <si>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</si>
  <si>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</si>
  <si>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</si>
  <si>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</si>
  <si>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</si>
  <si>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</si>
  <si>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</si>
  <si>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</si>
  <si>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</si>
  <si>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</si>
  <si>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</si>
  <si>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</si>
  <si>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</si>
  <si>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</si>
  <si>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</si>
  <si>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</si>
  <si>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</si>
  <si>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</si>
  <si>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</si>
  <si>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</si>
  <si>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</si>
  <si>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</si>
  <si>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</si>
  <si>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</si>
  <si>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</si>
  <si>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</si>
  <si>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</si>
  <si>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</si>
  <si>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</si>
  <si>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</si>
  <si>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</si>
  <si>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</si>
  <si>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</si>
  <si>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</si>
  <si>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</si>
  <si>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</si>
  <si>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</si>
  <si>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</si>
  <si>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</si>
  <si>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</si>
  <si>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</si>
  <si>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</si>
  <si>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</si>
  <si>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</si>
  <si>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</si>
  <si>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</si>
  <si>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</si>
  <si>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</si>
  <si>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</si>
  <si>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</si>
  <si>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</si>
  <si>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</si>
  <si>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</si>
  <si>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</si>
  <si>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</si>
  <si>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</si>
  <si>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</si>
  <si>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</si>
  <si>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</si>
  <si>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</si>
  <si>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</si>
  <si>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</si>
  <si>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</si>
  <si>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</si>
  <si>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</si>
  <si>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</si>
  <si>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</si>
  <si>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</si>
  <si>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</si>
  <si>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</si>
  <si>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</si>
  <si>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</si>
  <si>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</si>
  <si>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</si>
  <si>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</si>
  <si>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</si>
  <si>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</si>
  <si>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</si>
  <si>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</si>
  <si>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</si>
  <si>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</si>
  <si>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</si>
  <si>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</si>
  <si>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</si>
  <si>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</si>
  <si>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</si>
  <si>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</si>
  <si>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</si>
  <si>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</si>
  <si>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</si>
  <si>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</si>
  <si>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</si>
  <si>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</si>
  <si>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</si>
  <si>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Fa delle cose abbastanza preoccupanti: 1 - prima dice che bed e bath sono categoriche e usa un tipo di imputazione, poi fa delle correzioni, cambia il tipo in numerico e usa un altro tipo di imputazione; 2 - rimpiazza i -1 di zip_code con Unknown, ma poi converte il tipo in numerico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</si>
</sst>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abSelected="1" topLeftCell="A12" zoomScale="74" workbookViewId="0">
      <selection activeCell="C29" sqref="C29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0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0.625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22" zoomScale="59" workbookViewId="0">
      <selection activeCell="D42" sqref="D4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</v>
      </c>
      <c r="H9" s="4">
        <f>IFERROR(SUM(H4:H8)/COUNTIF(C4:C8, "Sì"), 0)</f>
        <v>0</v>
      </c>
      <c r="I9" s="13">
        <f>IFERROR(SUM(I4:I8)/COUNTIF(C4:C8, "Sì"), 0)</f>
        <v>0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</v>
      </c>
      <c r="C20" s="1" t="str">
        <f>IF(COUNTIF(C4:C8, "Sì")&gt;0, "Sì", "No")</f>
        <v>No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0.96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15" zoomScale="80" workbookViewId="0">
      <selection activeCell="D16" sqref="D16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No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38" zoomScale="97" workbookViewId="0">
      <selection activeCell="D20" sqref="D20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No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7" zoomScale="69" workbookViewId="0">
      <selection activeCell="D17" sqref="D17:D5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No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1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1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1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1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1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1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1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1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1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1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1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1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1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1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1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1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1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1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1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1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1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1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1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1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1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1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 t="str">
        <f>IFERROR((B11+B55)/(COUNTIF(C11, "Sì")+COUNTIF(C55, "Sì")),  "Non calcolabile")</f>
        <v>Non calcolabile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6" sqref="B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  <c r="C2" s="2" t="s">
        <v>235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2025-10-02T22:05:46Z</dcterms:modified>
</cp:coreProperties>
</file>