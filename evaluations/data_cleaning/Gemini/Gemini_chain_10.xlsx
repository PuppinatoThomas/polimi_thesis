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93DD6511-3E15-48FA-AF6B-B8145AD75E45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" l="1"/>
  <c r="E19" i="5"/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I130" i="2" l="1"/>
  <c r="H131" i="2"/>
  <c r="I131" i="2" s="1"/>
  <c r="H130" i="2"/>
  <c r="G131" i="2"/>
  <c r="G130" i="2"/>
  <c r="H5" i="2" l="1"/>
  <c r="H6" i="2"/>
  <c r="H7" i="2"/>
  <c r="H8" i="2"/>
  <c r="H4" i="2"/>
  <c r="G5" i="2"/>
  <c r="I5" i="2" s="1"/>
  <c r="G6" i="2"/>
  <c r="I6" i="2" s="1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C134" i="2" l="1"/>
  <c r="G132" i="2"/>
  <c r="I132" i="2"/>
  <c r="B134" i="2" s="1"/>
  <c r="H132" i="2"/>
  <c r="C81" i="4"/>
  <c r="B81" i="4"/>
  <c r="C132" i="6"/>
  <c r="B132" i="6"/>
  <c r="I7" i="2"/>
  <c r="I8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C19" i="5"/>
  <c r="E18" i="5"/>
  <c r="C18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6" i="2"/>
  <c r="C7" i="2"/>
  <c r="C8" i="2"/>
  <c r="C5" i="2"/>
  <c r="B27" i="1"/>
  <c r="C20" i="2" l="1"/>
  <c r="C44" i="2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37" i="2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<sst xmlns="http://schemas.openxmlformats.org/spreadsheetml/2006/main" count="1255" uniqueCount="215">
  <si>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</si>
  <si>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</si>
  <si>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</si>
  <si>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</si>
  <si>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</si>
  <si>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</si>
  <si>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</si>
  <si>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</si>
  <si>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</si>
  <si>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</si>
  <si>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</si>
  <si>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</si>
  <si>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</si>
  <si>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</si>
  <si>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</si>
  <si>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</si>
  <si>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</si>
  <si>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</si>
  <si>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</si>
  <si>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</si>
  <si>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</si>
  <si>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</si>
  <si>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</si>
  <si>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</si>
  <si>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</si>
  <si>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</si>
  <si>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</si>
  <si>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</si>
  <si>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</si>
  <si>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</si>
  <si>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</si>
  <si>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</si>
  <si>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</si>
  <si>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</si>
  <si>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</si>
  <si>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</si>
  <si>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</si>
  <si>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</si>
  <si>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</si>
  <si>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</si>
  <si>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</si>
  <si>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</si>
  <si>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</si>
  <si>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</si>
  <si>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</si>
  <si>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</si>
  <si>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</si>
  <si>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</si>
  <si>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</si>
  <si>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</si>
  <si>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</si>
  <si>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</si>
  <si>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</si>
  <si>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</si>
  <si>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</si>
  <si>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</si>
  <si>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</si>
  <si>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</si>
  <si>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</si>
  <si>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</si>
  <si>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</si>
  <si>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</si>
  <si>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</si>
  <si>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</si>
  <si>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</si>
  <si>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</si>
  <si>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</si>
  <si>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</si>
  <si>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</si>
  <si>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</si>
  <si>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</si>
  <si>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</si>
  <si>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</si>
  <si>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</si>
  <si>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</si>
  <si>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</si>
  <si>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</si>
  <si>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</si>
  <si>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</si>
  <si>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</si>
  <si>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</si>
  <si>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</si>
  <si>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</si>
  <si>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</si>
  <si>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</si>
  <si>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</si>
  <si>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</si>
  <si>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</si>
  <si>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</si>
  <si>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</si>
  <si>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</si>
  <si>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</si>
  <si>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</si>
  <si>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</si>
  <si>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</si>
  <si>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</si>
  <si>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</si>
  <si>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</si>
  <si>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</si>
  <si>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</si>
  <si>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</si>
  <si>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</si>
  <si>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</si>
  <si>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</si>
  <si>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</si>
  <si>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</si>
  <si>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</si>
  <si>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</si>
  <si>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</si>
  <si>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</si>
  <si>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</si>
  <si>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</si>
  <si>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</si>
  <si>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</si>
  <si>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</si>
  <si>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</si>
  <si>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</si>
  <si>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</si>
  <si>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</si>
  <si>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</si>
  <si>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</si>
  <si>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</si>
  <si>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</si>
  <si>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</si>
  <si>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</si>
  <si>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</si>
  <si>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</si>
  <si>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</si>
  <si>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</si>
  <si>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</si>
  <si>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</si>
  <si>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</si>
  <si>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</si>
  <si>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</si>
  <si>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</si>
  <si>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</si>
  <si>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</si>
  <si>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</si>
  <si>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</si>
  <si>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</si>
  <si>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</si>
  <si>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</si>
  <si>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</si>
  <si>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</si>
  <si>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</si>
  <si>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</si>
  <si>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</si>
  <si>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</si>
  <si>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</si>
  <si>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</si>
  <si>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</si>
  <si>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</si>
  <si>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</si>
  <si>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</si>
  <si>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</si>
  <si>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</si>
  <si>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</si>
  <si>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</si>
  <si>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</si>
  <si>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</si>
  <si>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</si>
  <si>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</si>
  <si>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</si>
  <si>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</si>
  <si>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</si>
  <si>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</si>
  <si>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</si>
  <si>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</si>
  <si>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</si>
  <si>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</si>
  <si>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</si>
  <si>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</si>
  <si>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</si>
  <si>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</si>
  <si>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</si>
  <si>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</si>
  <si>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</si>
  <si>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</si>
  <si>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</si>
  <si>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</si>
  <si>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</si>
  <si>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</si>
  <si>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</si>
  <si>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</si>
  <si>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</si>
  <si>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</si>
  <si>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</si>
  <si>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</si>
  <si>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</si>
  <si>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</si>
  <si>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</si>
  <si>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</si>
  <si>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</si>
  <si>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</si>
  <si>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</si>
  <si>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</si>
  <si>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</si>
  <si>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</si>
  <si>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</si>
  <si>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</si>
  <si>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</si>
  <si>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</si>
  <si>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</si>
  <si>
    <t>Nota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</si>
  <si>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</si>
  <si>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</si>
  <si>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</si>
  <si>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</si>
  <si>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</si>
  <si>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</si>
  <si>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Il codice fornito non funziona ed è errato, non si possono valutare i duplicati visto che non vengono forniti</t>
  </si>
  <si>
    <t xml:space="preserve">Sì </t>
  </si>
  <si>
    <t>Il codice per identificare i duplicati non funziona; il codice di data standardization elimina tutti i valori in zip_code e quasi tutti i valori in state</t>
  </si>
  <si>
    <t>Le colonne state e zip_code vengono praticamente completamente riempite di null values</t>
  </si>
  <si>
    <t>Per calcolare, qualora vengano proposte soluzioni con un diverso numero di outlier dati, uso il metodo che ne fornisce di più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</si>
</sst>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E84"/>
  <sheetViews>
    <sheetView zoomScale="84" workbookViewId="0">
      <selection activeCell="B76" sqref="B76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5" x14ac:dyDescent="0.4">
      <c r="A1" s="4" t="s">
        <v>18</v>
      </c>
    </row>
    <row r="3" spans="1:5" x14ac:dyDescent="0.4">
      <c r="A3" t="s">
        <v>5</v>
      </c>
      <c r="B3" t="s">
        <v>6</v>
      </c>
      <c r="C3" s="3" t="s">
        <v>7</v>
      </c>
      <c r="D3" s="3" t="s">
        <v>8</v>
      </c>
    </row>
    <row r="4" spans="1:5" x14ac:dyDescent="0.4">
      <c r="A4" t="s">
        <v>0</v>
      </c>
      <c r="B4" t="s">
        <v>9</v>
      </c>
      <c r="C4" s="3" t="s">
        <v>10</v>
      </c>
      <c r="D4" s="3">
        <v>1</v>
      </c>
    </row>
    <row r="5" spans="1:5" x14ac:dyDescent="0.4">
      <c r="A5" t="s">
        <v>1</v>
      </c>
      <c r="B5" t="s">
        <v>9</v>
      </c>
      <c r="C5" s="3" t="s">
        <v>10</v>
      </c>
      <c r="D5" s="3">
        <v>1</v>
      </c>
    </row>
    <row r="6" spans="1:5" x14ac:dyDescent="0.4">
      <c r="A6" t="s">
        <v>2</v>
      </c>
      <c r="B6" t="s">
        <v>9</v>
      </c>
      <c r="C6" s="3" t="s">
        <v>10</v>
      </c>
      <c r="D6" s="3">
        <v>1</v>
      </c>
    </row>
    <row r="7" spans="1:5" x14ac:dyDescent="0.4">
      <c r="A7" t="s">
        <v>3</v>
      </c>
      <c r="B7" t="s">
        <v>9</v>
      </c>
      <c r="C7" s="3" t="s">
        <v>10</v>
      </c>
      <c r="D7" s="3">
        <v>1</v>
      </c>
    </row>
    <row r="8" spans="1:5" x14ac:dyDescent="0.4">
      <c r="A8" t="s">
        <v>4</v>
      </c>
      <c r="B8" t="s">
        <v>9</v>
      </c>
      <c r="C8" s="3" t="s">
        <v>10</v>
      </c>
      <c r="D8" s="3">
        <v>1</v>
      </c>
    </row>
    <row r="9" spans="1:5" x14ac:dyDescent="0.4">
      <c r="C9" s="3"/>
    </row>
    <row r="10" spans="1:5" x14ac:dyDescent="0.4">
      <c r="C10" s="3"/>
    </row>
    <row r="11" spans="1:5" x14ac:dyDescent="0.4">
      <c r="A11" s="4" t="s">
        <v>11</v>
      </c>
      <c r="B11">
        <f>SUM(D4:D8)/COUNTA(C4:C8)</f>
        <v>1</v>
      </c>
      <c r="C11" s="3"/>
    </row>
    <row r="14" spans="1:5" x14ac:dyDescent="0.4">
      <c r="A14" s="4" t="s">
        <v>42</v>
      </c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203</v>
      </c>
    </row>
    <row r="17" spans="1:5" x14ac:dyDescent="0.4">
      <c r="A17" t="s">
        <v>43</v>
      </c>
      <c r="B17" t="s">
        <v>44</v>
      </c>
      <c r="C17" s="3" t="s">
        <v>10</v>
      </c>
      <c r="D17" s="3">
        <v>1</v>
      </c>
      <c r="E17" t="s">
        <v>213</v>
      </c>
    </row>
    <row r="18" spans="1:5" x14ac:dyDescent="0.4">
      <c r="A18" t="s">
        <v>0</v>
      </c>
      <c r="B18" t="s">
        <v>45</v>
      </c>
      <c r="C18" s="3" t="s">
        <v>10</v>
      </c>
      <c r="D18" s="3">
        <v>1</v>
      </c>
    </row>
    <row r="19" spans="1:5" x14ac:dyDescent="0.4">
      <c r="A19" t="s">
        <v>1</v>
      </c>
      <c r="B19" t="s">
        <v>46</v>
      </c>
      <c r="C19" s="3" t="s">
        <v>10</v>
      </c>
      <c r="D19" s="3">
        <v>1</v>
      </c>
    </row>
    <row r="20" spans="1:5" x14ac:dyDescent="0.4">
      <c r="A20" t="s">
        <v>2</v>
      </c>
      <c r="B20" t="s">
        <v>46</v>
      </c>
      <c r="C20" s="3" t="s">
        <v>10</v>
      </c>
      <c r="D20" s="3">
        <v>1</v>
      </c>
    </row>
    <row r="21" spans="1:5" x14ac:dyDescent="0.4">
      <c r="A21" t="s">
        <v>47</v>
      </c>
      <c r="B21" t="s">
        <v>185</v>
      </c>
      <c r="C21" s="3" t="s">
        <v>10</v>
      </c>
      <c r="D21" s="3">
        <v>0</v>
      </c>
    </row>
    <row r="22" spans="1:5" x14ac:dyDescent="0.4">
      <c r="A22" t="s">
        <v>48</v>
      </c>
      <c r="B22" t="s">
        <v>49</v>
      </c>
      <c r="C22" s="3" t="s">
        <v>10</v>
      </c>
      <c r="D22" s="3">
        <v>1</v>
      </c>
    </row>
    <row r="23" spans="1:5" x14ac:dyDescent="0.4">
      <c r="A23" t="s">
        <v>4</v>
      </c>
      <c r="B23" t="s">
        <v>50</v>
      </c>
      <c r="C23" s="3" t="s">
        <v>10</v>
      </c>
      <c r="D23" s="3">
        <v>0</v>
      </c>
    </row>
    <row r="24" spans="1:5" x14ac:dyDescent="0.4">
      <c r="A24" t="s">
        <v>51</v>
      </c>
      <c r="B24" t="s">
        <v>52</v>
      </c>
      <c r="C24" s="3" t="s">
        <v>10</v>
      </c>
      <c r="D24" s="3">
        <v>1</v>
      </c>
    </row>
    <row r="25" spans="1:5" x14ac:dyDescent="0.4">
      <c r="C25" s="3"/>
    </row>
    <row r="26" spans="1:5" x14ac:dyDescent="0.4">
      <c r="C26" s="3"/>
    </row>
    <row r="27" spans="1:5" x14ac:dyDescent="0.4">
      <c r="A27" s="4" t="s">
        <v>53</v>
      </c>
      <c r="B27">
        <f>SUM(D17:D24)/COUNTA(C17:C24)</f>
        <v>0.75</v>
      </c>
      <c r="C27" s="3"/>
    </row>
    <row r="29" spans="1:5" x14ac:dyDescent="0.4">
      <c r="A29" s="4"/>
    </row>
    <row r="30" spans="1:5" x14ac:dyDescent="0.4">
      <c r="A30" s="4" t="s">
        <v>68</v>
      </c>
      <c r="B30" t="s">
        <v>69</v>
      </c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0.66666666666666663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0.85416666666666663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abSelected="1" topLeftCell="B1" zoomScale="68" workbookViewId="0">
      <selection activeCell="M3" sqref="M3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3" x14ac:dyDescent="0.4">
      <c r="A1" s="4" t="s">
        <v>18</v>
      </c>
      <c r="C1" s="2"/>
    </row>
    <row r="2" spans="1:13" x14ac:dyDescent="0.4">
      <c r="D2" s="3"/>
    </row>
    <row r="3" spans="1:13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s="3"/>
      <c r="M3" t="s">
        <v>214</v>
      </c>
    </row>
    <row r="4" spans="1:13" x14ac:dyDescent="0.4">
      <c r="A4" t="s">
        <v>0</v>
      </c>
      <c r="B4" t="s">
        <v>159</v>
      </c>
      <c r="C4" s="3" t="str">
        <f>IF(Completeness!D4=1,"Sì","No")</f>
        <v>Sì</v>
      </c>
      <c r="D4" s="3">
        <v>6</v>
      </c>
      <c r="E4" s="3">
        <v>0</v>
      </c>
      <c r="F4" s="3">
        <v>2</v>
      </c>
      <c r="G4">
        <f>IF(D4+E4=0, 0, D4/(D4+E4))</f>
        <v>1</v>
      </c>
      <c r="H4">
        <f>IF(D4+F4=0, 0, D4/(D4+F4))</f>
        <v>0.75</v>
      </c>
      <c r="I4" s="3">
        <f>IF(G4+H4=0, 0,(2*G4*H4)/(G4+H4))</f>
        <v>0.8571428571428571</v>
      </c>
      <c r="J4" s="2" t="s">
        <v>178</v>
      </c>
    </row>
    <row r="5" spans="1:13" x14ac:dyDescent="0.4">
      <c r="A5" t="s">
        <v>1</v>
      </c>
      <c r="B5" t="s">
        <v>160</v>
      </c>
      <c r="C5" s="3" t="str">
        <f>IF(Completeness!D5=1,"Sì","No")</f>
        <v>Sì</v>
      </c>
      <c r="D5" s="3">
        <v>6</v>
      </c>
      <c r="E5" s="3">
        <v>34</v>
      </c>
      <c r="F5" s="3">
        <v>0</v>
      </c>
      <c r="G5">
        <f t="shared" ref="G5:G8" si="0">IF(D5+E5=0, 0, D5/(D5+E5))</f>
        <v>0.15</v>
      </c>
      <c r="H5">
        <f t="shared" ref="H5:H8" si="1">IF(D5+F5=0, 0, D5/(D5+F5))</f>
        <v>1</v>
      </c>
      <c r="I5" s="3">
        <f t="shared" ref="I5:I8" si="2">IF(G5+H5=0, 0,(2*G5*H5)/(G5+H5))</f>
        <v>0.2608695652173913</v>
      </c>
      <c r="J5" s="2" t="s">
        <v>179</v>
      </c>
    </row>
    <row r="6" spans="1:13" x14ac:dyDescent="0.4">
      <c r="A6" t="s">
        <v>2</v>
      </c>
      <c r="B6" t="s">
        <v>161</v>
      </c>
      <c r="C6" s="3" t="str">
        <f>IF(Completeness!D6=1,"Sì","No")</f>
        <v>Sì</v>
      </c>
      <c r="D6" s="3">
        <v>9</v>
      </c>
      <c r="E6" s="3">
        <v>1</v>
      </c>
      <c r="F6" s="3">
        <v>0</v>
      </c>
      <c r="G6">
        <f t="shared" si="0"/>
        <v>0.9</v>
      </c>
      <c r="H6">
        <f t="shared" si="1"/>
        <v>1</v>
      </c>
      <c r="I6" s="3">
        <f t="shared" si="2"/>
        <v>0.94736842105263164</v>
      </c>
      <c r="J6" s="2" t="s">
        <v>15</v>
      </c>
    </row>
    <row r="7" spans="1:13" x14ac:dyDescent="0.4">
      <c r="A7" t="s">
        <v>3</v>
      </c>
      <c r="B7" t="s">
        <v>162</v>
      </c>
      <c r="C7" s="3" t="str">
        <f>IF(Completeness!D7=1,"Sì","No")</f>
        <v>Sì</v>
      </c>
      <c r="D7" s="3">
        <v>15</v>
      </c>
      <c r="E7" s="3">
        <v>2</v>
      </c>
      <c r="F7" s="3">
        <v>0</v>
      </c>
      <c r="G7">
        <f t="shared" si="0"/>
        <v>0.88235294117647056</v>
      </c>
      <c r="H7">
        <f t="shared" si="1"/>
        <v>1</v>
      </c>
      <c r="I7" s="3">
        <f t="shared" si="2"/>
        <v>0.9375</v>
      </c>
      <c r="J7" s="2" t="s">
        <v>16</v>
      </c>
    </row>
    <row r="8" spans="1:13" x14ac:dyDescent="0.4">
      <c r="A8" t="s">
        <v>4</v>
      </c>
      <c r="B8" t="s">
        <v>163</v>
      </c>
      <c r="C8" s="3" t="str">
        <f>IF(Completeness!D8=1,"Sì","No")</f>
        <v>Sì</v>
      </c>
      <c r="D8" s="3">
        <v>8</v>
      </c>
      <c r="E8" s="3">
        <v>4</v>
      </c>
      <c r="F8" s="3">
        <v>3</v>
      </c>
      <c r="G8">
        <f t="shared" si="0"/>
        <v>0.66666666666666663</v>
      </c>
      <c r="H8">
        <f t="shared" si="1"/>
        <v>0.72727272727272729</v>
      </c>
      <c r="I8" s="3">
        <f t="shared" si="2"/>
        <v>0.69565217391304346</v>
      </c>
      <c r="J8" s="2" t="s">
        <v>17</v>
      </c>
    </row>
    <row r="9" spans="1:13" x14ac:dyDescent="0.4">
      <c r="C9" s="3"/>
      <c r="D9" s="3"/>
      <c r="E9" s="3"/>
      <c r="F9" s="3"/>
      <c r="G9" s="4">
        <f>IFERROR(SUM(G4:G8)/COUNTIF(C4:C8, "Sì"), 0)</f>
        <v>0.71980392156862738</v>
      </c>
      <c r="H9" s="4">
        <f>IFERROR(SUM(H4:H8)/COUNTIF(C4:C8, "Sì"), 0)</f>
        <v>0.8954545454545455</v>
      </c>
      <c r="I9" s="13">
        <f>IFERROR(SUM(I4:I8)/COUNTIF(C4:C8, "Sì"), 0)</f>
        <v>0.73970660346518469</v>
      </c>
    </row>
    <row r="10" spans="1:13" x14ac:dyDescent="0.4">
      <c r="B10" s="3"/>
      <c r="C10" s="3"/>
      <c r="D10" s="3"/>
    </row>
    <row r="11" spans="1:13" x14ac:dyDescent="0.4">
      <c r="B11" s="3"/>
      <c r="C11" s="3"/>
      <c r="D11" s="3"/>
    </row>
    <row r="12" spans="1:13" x14ac:dyDescent="0.4">
      <c r="A12" s="4" t="s">
        <v>19</v>
      </c>
      <c r="B12" s="3"/>
      <c r="C12" s="3"/>
      <c r="D12" s="3"/>
    </row>
    <row r="13" spans="1:13" x14ac:dyDescent="0.4">
      <c r="A13" t="s">
        <v>0</v>
      </c>
      <c r="B13" s="2" t="s">
        <v>198</v>
      </c>
      <c r="C13" s="3"/>
      <c r="D13" s="3"/>
    </row>
    <row r="14" spans="1:13" x14ac:dyDescent="0.4">
      <c r="A14" t="s">
        <v>1</v>
      </c>
      <c r="B14" s="2" t="s">
        <v>199</v>
      </c>
      <c r="C14" s="3"/>
      <c r="D14" s="3"/>
    </row>
    <row r="15" spans="1:13" x14ac:dyDescent="0.4">
      <c r="A15" t="s">
        <v>2</v>
      </c>
      <c r="B15" s="2" t="s">
        <v>200</v>
      </c>
      <c r="C15" s="3"/>
      <c r="D15" s="3"/>
    </row>
    <row r="16" spans="1:13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0.73970660346518469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0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0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0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0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0.63333333333333341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204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0</v>
      </c>
      <c r="E50" s="6" t="s">
        <v>92</v>
      </c>
      <c r="F50" t="s">
        <v>205</v>
      </c>
      <c r="G50" s="6"/>
      <c r="I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0</v>
      </c>
      <c r="E51" s="6" t="s">
        <v>92</v>
      </c>
      <c r="F51" t="s">
        <v>205</v>
      </c>
      <c r="G51" s="6"/>
      <c r="I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t="s">
        <v>205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t="s">
        <v>205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0</v>
      </c>
      <c r="E54" s="6" t="s">
        <v>94</v>
      </c>
      <c r="F54" t="s">
        <v>205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0</v>
      </c>
      <c r="E55" s="6" t="s">
        <v>94</v>
      </c>
      <c r="F55" t="s">
        <v>205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205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205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205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F59" t="s">
        <v>205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205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t="s">
        <v>205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206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206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t="s">
        <v>206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t="s">
        <v>206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206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206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207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207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t="s">
        <v>207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t="s">
        <v>207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207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207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207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207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t="s">
        <v>207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t="s">
        <v>207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207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207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206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206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t="s">
        <v>206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t="s">
        <v>206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206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206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205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205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205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205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205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205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t="s">
        <v>205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t="s">
        <v>205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205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205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205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205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208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208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208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208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208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208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t="s">
        <v>209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t="s">
        <v>209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209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209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t="s">
        <v>209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t="s">
        <v>209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206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206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t="s">
        <v>206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t="s">
        <v>206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206</v>
      </c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206</v>
      </c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1</v>
      </c>
      <c r="E116" s="6" t="s">
        <v>125</v>
      </c>
      <c r="F116" t="s">
        <v>205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1</v>
      </c>
      <c r="E117" s="6" t="s">
        <v>125</v>
      </c>
      <c r="F117" t="s">
        <v>205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1</v>
      </c>
      <c r="E118" s="6" t="s">
        <v>126</v>
      </c>
      <c r="F118" t="s">
        <v>205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1</v>
      </c>
      <c r="E119" s="6" t="s">
        <v>126</v>
      </c>
      <c r="F119" t="s">
        <v>205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t="s">
        <v>205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t="s">
        <v>205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0.84166666666666679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2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  <c r="L129" s="8" t="s">
        <v>203</v>
      </c>
    </row>
    <row r="130" spans="1:12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  <c r="L130" t="s">
        <v>210</v>
      </c>
    </row>
    <row r="131" spans="1:12" x14ac:dyDescent="0.4">
      <c r="B131" s="6" t="s">
        <v>152</v>
      </c>
      <c r="C131" s="8" t="str">
        <f>IF(Completeness!D78=1,"Sì","No")</f>
        <v>Sì</v>
      </c>
      <c r="D131" s="8">
        <v>0</v>
      </c>
      <c r="E131" s="8">
        <v>0</v>
      </c>
      <c r="F131" s="8">
        <v>10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2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2" x14ac:dyDescent="0.4">
      <c r="B133" s="6"/>
      <c r="C133" s="8"/>
      <c r="D133" s="8"/>
      <c r="E133" s="8"/>
      <c r="F133" s="8"/>
      <c r="G133" s="6"/>
      <c r="H133" s="6"/>
      <c r="I133" s="11"/>
    </row>
    <row r="134" spans="1:12" x14ac:dyDescent="0.4">
      <c r="A134" s="4" t="s">
        <v>158</v>
      </c>
      <c r="B134" s="1">
        <f>I132</f>
        <v>0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2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2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2" x14ac:dyDescent="0.4">
      <c r="A137" s="4" t="s">
        <v>173</v>
      </c>
      <c r="B137" s="16">
        <f>(B20+B44+B124+B134)/(COUNTIF(C20,"Sì")+COUNTIF(C44,"Sì")+COUNTIF(C124,"Sì")+COUNTIF(C134,"Sì"))</f>
        <v>0.55367665086629625</v>
      </c>
      <c r="C137" s="6"/>
      <c r="D137" s="14" t="s">
        <v>189</v>
      </c>
      <c r="E137" s="6"/>
      <c r="F137" s="6"/>
      <c r="G137" s="6"/>
      <c r="H137" s="6"/>
      <c r="I137" s="6"/>
    </row>
    <row r="138" spans="1:12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2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2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2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2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zoomScale="56" zoomScaleNormal="100" workbookViewId="0">
      <selection activeCell="D22" sqref="D22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0.75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zoomScale="55" workbookViewId="0">
      <selection activeCell="H33" sqref="H33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1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1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1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1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0.80000000000000016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60" workbookViewId="0">
      <selection activeCell="D43" sqref="D43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6</v>
      </c>
      <c r="E17" s="3">
        <f t="shared" ref="E17:E52" si="0">1-((D17-1)/11)</f>
        <v>0.54545454545454541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6</v>
      </c>
      <c r="E19" s="3">
        <f t="shared" si="0"/>
        <v>0.54545454545454541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5</v>
      </c>
      <c r="E21" s="3">
        <f t="shared" si="0"/>
        <v>0.63636363636363635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5</v>
      </c>
      <c r="E22" s="3">
        <f t="shared" si="0"/>
        <v>0.63636363636363635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6</v>
      </c>
      <c r="E23" s="3">
        <f t="shared" si="0"/>
        <v>0.54545454545454541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6</v>
      </c>
      <c r="E25" s="3">
        <f t="shared" si="0"/>
        <v>0.54545454545454541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6</v>
      </c>
      <c r="E26" s="3">
        <f t="shared" si="0"/>
        <v>0.54545454545454541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6</v>
      </c>
      <c r="E28" s="3">
        <f t="shared" si="0"/>
        <v>0.54545454545454541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6</v>
      </c>
      <c r="E29" s="3">
        <f t="shared" si="0"/>
        <v>0.54545454545454541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6</v>
      </c>
      <c r="E31" s="3">
        <f t="shared" si="0"/>
        <v>0.54545454545454541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6</v>
      </c>
      <c r="E32" s="3">
        <f t="shared" si="0"/>
        <v>0.54545454545454541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6</v>
      </c>
      <c r="E34" s="3">
        <f t="shared" si="0"/>
        <v>0.54545454545454541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5</v>
      </c>
      <c r="E36" s="3">
        <f t="shared" si="0"/>
        <v>0.63636363636363635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5</v>
      </c>
      <c r="E37" s="3">
        <f t="shared" si="0"/>
        <v>0.63636363636363635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5</v>
      </c>
      <c r="E39" s="3">
        <f t="shared" si="0"/>
        <v>0.63636363636363635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5</v>
      </c>
      <c r="E40" s="3">
        <f t="shared" si="0"/>
        <v>0.63636363636363635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2</v>
      </c>
      <c r="E41" s="3">
        <f t="shared" si="0"/>
        <v>0.90909090909090906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5</v>
      </c>
      <c r="E42" s="3">
        <f t="shared" si="0"/>
        <v>0.63636363636363635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5</v>
      </c>
      <c r="E43" s="3">
        <f t="shared" si="0"/>
        <v>0.63636363636363635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6</v>
      </c>
      <c r="E47" s="3">
        <f t="shared" si="0"/>
        <v>0.54545454545454541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6</v>
      </c>
      <c r="E49" s="3">
        <f t="shared" si="0"/>
        <v>0.54545454545454541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2</v>
      </c>
      <c r="E50" s="3">
        <f t="shared" si="0"/>
        <v>0.90909090909090906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5</v>
      </c>
      <c r="E51" s="3">
        <f t="shared" si="0"/>
        <v>0.63636363636363635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5</v>
      </c>
      <c r="E52" s="3">
        <f t="shared" si="0"/>
        <v>0.63636363636363635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0.61363636363636354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0.30681818181818177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E19" sqref="E19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211</v>
      </c>
      <c r="C2" s="2" t="s">
        <v>212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2025-10-11T14:45:17Z</dcterms:modified>
</cp:coreProperties>
</file>