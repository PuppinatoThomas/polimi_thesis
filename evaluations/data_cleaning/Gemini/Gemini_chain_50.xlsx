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55B80E2E-98F0-4AB5-88A9-D667B434592A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4" i="2"/>
  <c r="B132" i="6"/>
  <c r="B81" i="4"/>
  <c r="C131" i="2"/>
  <c r="C130" i="2"/>
  <c r="H131" i="2"/>
  <c r="I131" i="2" s="1"/>
  <c r="G131" i="2"/>
  <c r="H130" i="2"/>
  <c r="G130" i="2"/>
  <c r="I130" i="2" s="1"/>
  <c r="G132" i="2"/>
  <c r="C8" i="2"/>
  <c r="C7" i="2"/>
  <c r="C6" i="2"/>
  <c r="C5" i="2"/>
  <c r="C4" i="2"/>
  <c r="C20" i="2" s="1"/>
  <c r="H8" i="2"/>
  <c r="I8" i="2" s="1"/>
  <c r="G8" i="2"/>
  <c r="H7" i="2"/>
  <c r="G7" i="2"/>
  <c r="H6" i="2"/>
  <c r="I6" i="2" s="1"/>
  <c r="G6" i="2"/>
  <c r="H5" i="2"/>
  <c r="G5" i="2"/>
  <c r="I5" i="2" s="1"/>
  <c r="H4" i="2"/>
  <c r="G4" i="2"/>
  <c r="C129" i="6"/>
  <c r="C128" i="6"/>
  <c r="C132" i="6" s="1"/>
  <c r="C127" i="6"/>
  <c r="C126" i="6"/>
  <c r="C78" i="4"/>
  <c r="C81" i="4" s="1"/>
  <c r="E5" i="5"/>
  <c r="E6" i="5"/>
  <c r="E7" i="5"/>
  <c r="E8" i="5"/>
  <c r="E4" i="5"/>
  <c r="I7" i="2" l="1"/>
  <c r="H9" i="2"/>
  <c r="G9" i="2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B137" i="2" s="1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6" i="6" l="1"/>
  <c r="B135" i="6" s="1"/>
  <c r="C16" i="6"/>
  <c r="C11" i="4"/>
  <c r="B11" i="4"/>
  <c r="B84" i="4" s="1"/>
  <c r="C11" i="5"/>
  <c r="B11" i="5"/>
  <c r="B58" i="5" l="1"/>
</calcChain>
</file>

<file path=xl/sharedStrings.xml><?xml version="1.0" encoding="utf-8"?>
<sst xmlns="http://schemas.openxmlformats.org/spreadsheetml/2006/main" count="1287" uniqueCount="247">
  <si>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</si>
  <si>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</si>
  <si>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</si>
  <si>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</si>
  <si>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</si>
  <si>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</si>
  <si>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</si>
  <si>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</si>
  <si>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</si>
  <si>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</si>
  <si>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</si>
  <si>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</si>
  <si>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</si>
  <si>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</si>
  <si>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</si>
  <si>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</si>
  <si>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</si>
  <si>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</si>
  <si>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</si>
  <si>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</si>
  <si>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</si>
  <si>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</si>
  <si>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</si>
  <si>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</si>
  <si>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</si>
  <si>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</si>
  <si>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</si>
  <si>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</si>
  <si>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</si>
  <si>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</si>
  <si>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</si>
  <si>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</si>
  <si>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</si>
  <si>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</si>
  <si>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</si>
  <si>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</si>
  <si>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</si>
  <si>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</si>
  <si>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</si>
  <si>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</si>
  <si>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</si>
  <si>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</si>
  <si>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</si>
  <si>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</si>
  <si>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</si>
  <si>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</si>
  <si>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</si>
  <si>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</si>
  <si>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</si>
  <si>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</si>
  <si>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</si>
  <si>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</si>
  <si>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</si>
  <si>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</si>
  <si>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</si>
  <si>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</si>
  <si>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</si>
  <si>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</si>
  <si>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</si>
  <si>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</si>
  <si>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</si>
  <si>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</si>
  <si>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</si>
  <si>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</si>
  <si>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</si>
  <si>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</si>
  <si>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</si>
  <si>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</si>
  <si>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</si>
  <si>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</si>
  <si>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</si>
  <si>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</si>
  <si>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</si>
  <si>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</si>
  <si>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</si>
  <si>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</si>
  <si>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</si>
  <si>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</si>
  <si>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</si>
  <si>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</si>
  <si>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</si>
  <si>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</si>
  <si>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</si>
  <si>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</si>
  <si>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</si>
  <si>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</si>
  <si>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</si>
  <si>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</si>
  <si>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</si>
  <si>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</si>
  <si>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</si>
  <si>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</si>
  <si>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</si>
  <si>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</si>
  <si>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</si>
  <si>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</si>
  <si>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</si>
  <si>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</si>
  <si>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</si>
  <si>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</si>
  <si>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</si>
  <si>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</si>
  <si>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</si>
  <si>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</si>
  <si>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</si>
  <si>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</si>
  <si>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</si>
  <si>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</si>
  <si>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</si>
  <si>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</si>
  <si>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</si>
  <si>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</si>
  <si>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</si>
  <si>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</si>
  <si>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</si>
  <si>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</si>
  <si>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</si>
  <si>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</si>
  <si>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</si>
  <si>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</si>
  <si>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</si>
  <si>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</si>
  <si>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</si>
  <si>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</si>
  <si>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</si>
  <si>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</si>
  <si>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</si>
  <si>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</si>
  <si>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</si>
  <si>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</si>
  <si>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</si>
  <si>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</si>
  <si>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</si>
  <si>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</si>
  <si>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</si>
  <si>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</si>
  <si>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</si>
  <si>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</si>
  <si>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</si>
  <si>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</si>
  <si>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</si>
  <si>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</si>
  <si>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</si>
  <si>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</si>
  <si>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</si>
  <si>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</si>
  <si>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</si>
  <si>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</si>
  <si>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</si>
  <si>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</si>
  <si>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</si>
  <si>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</si>
  <si>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</si>
  <si>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</si>
  <si>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</si>
  <si>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</si>
  <si>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</si>
  <si>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</si>
  <si>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</si>
  <si>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</si>
  <si>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</si>
  <si>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</si>
  <si>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</si>
  <si>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</si>
  <si>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</si>
  <si>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</si>
  <si>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</si>
  <si>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</si>
  <si>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</si>
  <si>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</si>
  <si>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</si>
  <si>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</si>
  <si>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</si>
  <si>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</si>
  <si>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</si>
  <si>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</si>
  <si>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</si>
  <si>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</si>
  <si>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</si>
  <si>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</si>
  <si>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</si>
  <si>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</si>
  <si>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</si>
  <si>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</si>
  <si>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</si>
  <si>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</si>
  <si>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</si>
  <si>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</si>
  <si>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</si>
  <si>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</si>
  <si>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</si>
  <si>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</si>
  <si>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</si>
  <si>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</si>
  <si>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</si>
  <si>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</si>
  <si>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</si>
  <si>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</si>
  <si>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</si>
  <si>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</si>
  <si>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</si>
  <si>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</si>
  <si>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</si>
  <si>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</si>
  <si>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</si>
  <si>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</si>
  <si>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</si>
  <si>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</si>
  <si>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</si>
  <si>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</si>
  <si>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</si>
  <si>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</si>
  <si>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</si>
  <si>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</si>
  <si>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</si>
  <si>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</si>
  <si>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</si>
  <si>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</si>
  <si>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</si>
  <si>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</si>
  <si>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</si>
  <si>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</si>
  <si>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</si>
  <si>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</si>
  <si>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</si>
  <si>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</si>
  <si>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</si>
  <si>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</si>
  <si>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</si>
  <si>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</si>
  <si>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</si>
  <si>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</si>
  <si>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</si>
  <si>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</si>
  <si>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</si>
  <si>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Nota</t>
  </si>
  <si>
    <t>Eseguendo il codice proposto, per le colonne non numeriche non viene fatta nessuna imputation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</si>
  <si>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</si>
  <si>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</si>
  <si>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</si>
  <si>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</si>
  <si>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</si>
  <si>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</si>
  <si>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Il codice fornito non funziona ed è errato, non si possono valutare i duplicati visto che non vengono forniti</t>
  </si>
  <si>
    <t xml:space="preserve">Sì </t>
  </si>
  <si>
    <t>Il codice per identificare i duplicati non funziona</t>
  </si>
  <si>
    <t>Per calcolare, qualora vengano proposte soluzioni con un diverso numero di outlier dati, uso il metodo che ne fornisce di più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</si>
</sst>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abSelected="1" topLeftCell="A43" zoomScale="48" workbookViewId="0">
      <selection activeCell="D64" sqref="D64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0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0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0.375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0.33333333333333331</v>
      </c>
      <c r="C71" s="8"/>
      <c r="D71" s="6"/>
    </row>
    <row r="72" spans="1:4" x14ac:dyDescent="0.4">
      <c r="A72" s="6" t="s">
        <v>235</v>
      </c>
      <c r="B72" t="s">
        <v>236</v>
      </c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0.67708333333333326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88" zoomScale="48" workbookViewId="0">
      <selection activeCell="L3" sqref="L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t="s">
        <v>246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2</v>
      </c>
      <c r="E4" s="3">
        <v>0</v>
      </c>
      <c r="F4" s="3">
        <v>14</v>
      </c>
      <c r="G4">
        <f>IF(D4+E4=0, 0, D4/(D4+E4))</f>
        <v>1</v>
      </c>
      <c r="H4">
        <f>IF(D4+F4=0, 0, D4/(D4+F4))</f>
        <v>0.125</v>
      </c>
      <c r="I4" s="3">
        <f>IF(G4+H4=0, 0,(2*G4*H4)/(G4+H4))</f>
        <v>0.22222222222222221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Sì</v>
      </c>
      <c r="D5" s="3">
        <v>9</v>
      </c>
      <c r="E5" s="3">
        <v>0</v>
      </c>
      <c r="F5" s="3">
        <v>0</v>
      </c>
      <c r="G5">
        <f t="shared" ref="G5:G8" si="0">IF(D5+E5=0, 0, D5/(D5+E5))</f>
        <v>1</v>
      </c>
      <c r="H5">
        <f t="shared" ref="H5:H8" si="1">IF(D5+F5=0, 0, D5/(D5+F5))</f>
        <v>1</v>
      </c>
      <c r="I5" s="3">
        <f t="shared" ref="I5:I8" si="2">IF(G5+H5=0, 0,(2*G5*H5)/(G5+H5))</f>
        <v>1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Sì</v>
      </c>
      <c r="D6" s="3">
        <v>11</v>
      </c>
      <c r="E6" s="3">
        <v>0</v>
      </c>
      <c r="F6" s="3">
        <v>9</v>
      </c>
      <c r="G6">
        <f t="shared" si="0"/>
        <v>1</v>
      </c>
      <c r="H6">
        <f t="shared" si="1"/>
        <v>0.55000000000000004</v>
      </c>
      <c r="I6" s="3">
        <f t="shared" si="2"/>
        <v>0.70967741935483875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8</v>
      </c>
      <c r="E7" s="3">
        <v>0</v>
      </c>
      <c r="F7" s="3">
        <v>3</v>
      </c>
      <c r="G7">
        <f t="shared" si="0"/>
        <v>1</v>
      </c>
      <c r="H7">
        <f t="shared" si="1"/>
        <v>0.72727272727272729</v>
      </c>
      <c r="I7" s="3">
        <f t="shared" si="2"/>
        <v>0.8421052631578948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6</v>
      </c>
      <c r="E8" s="3">
        <v>0</v>
      </c>
      <c r="F8" s="3">
        <v>24</v>
      </c>
      <c r="G8">
        <f t="shared" si="0"/>
        <v>1</v>
      </c>
      <c r="H8">
        <f t="shared" si="1"/>
        <v>0.2</v>
      </c>
      <c r="I8" s="3">
        <f t="shared" si="2"/>
        <v>0.33333333333333337</v>
      </c>
      <c r="J8" s="2" t="s">
        <v>17</v>
      </c>
    </row>
    <row r="9" spans="1:12" x14ac:dyDescent="0.4">
      <c r="C9" s="3"/>
      <c r="D9" s="3"/>
      <c r="E9" s="3"/>
      <c r="F9" s="3"/>
      <c r="G9" s="4">
        <f>IFERROR(SUM(G4:G8)/COUNTIF(C4:C8, "Sì"), 0)</f>
        <v>1</v>
      </c>
      <c r="H9" s="4">
        <f>IFERROR(SUM(H4:H8)/COUNTIF(C4:C8, "Sì"), 0)</f>
        <v>0.5204545454545455</v>
      </c>
      <c r="I9" s="13">
        <f>IFERROR(SUM(I4:I8)/COUNTIF(C4:C8, "Sì"), 0)</f>
        <v>0.62146764761365791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230</v>
      </c>
      <c r="C13" s="3"/>
      <c r="D13" s="3"/>
    </row>
    <row r="14" spans="1:12" x14ac:dyDescent="0.4">
      <c r="A14" t="s">
        <v>1</v>
      </c>
      <c r="B14" s="2" t="s">
        <v>231</v>
      </c>
      <c r="C14" s="3"/>
      <c r="D14" s="3"/>
    </row>
    <row r="15" spans="1:12" x14ac:dyDescent="0.4">
      <c r="A15" t="s">
        <v>2</v>
      </c>
      <c r="B15" s="2" t="s">
        <v>232</v>
      </c>
      <c r="C15" s="3"/>
      <c r="D15" s="3"/>
    </row>
    <row r="16" spans="1:12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0.62146764761365791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No</v>
      </c>
      <c r="D26" s="8">
        <v>0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No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0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0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No</v>
      </c>
      <c r="D40" s="8">
        <v>0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No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0.66666666666666663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237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t="s">
        <v>238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t="s">
        <v>238</v>
      </c>
      <c r="G51" s="6"/>
      <c r="I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t="s">
        <v>238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t="s">
        <v>238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t="s">
        <v>238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t="s">
        <v>238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238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238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238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238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t="s">
        <v>238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t="s">
        <v>238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239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239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t="s">
        <v>239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t="s">
        <v>239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239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239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240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240</v>
      </c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t="s">
        <v>240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t="s">
        <v>240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240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240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240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240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t="s">
        <v>240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t="s">
        <v>240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240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240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239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239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t="s">
        <v>239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t="s">
        <v>239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239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239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238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238</v>
      </c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238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238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238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238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238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238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238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238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t="s">
        <v>238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t="s">
        <v>238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t="s">
        <v>241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t="s">
        <v>241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t="s">
        <v>241</v>
      </c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t="s">
        <v>241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t="s">
        <v>241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t="s">
        <v>241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0</v>
      </c>
      <c r="E104" s="6" t="s">
        <v>119</v>
      </c>
      <c r="F104" t="s">
        <v>242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242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242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242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0</v>
      </c>
      <c r="E108" s="6" t="s">
        <v>121</v>
      </c>
      <c r="F108" t="s">
        <v>242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242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239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239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t="s">
        <v>239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t="s">
        <v>239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239</v>
      </c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239</v>
      </c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238</v>
      </c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238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238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238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238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238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0.73333333333333339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2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  <c r="L129" s="8" t="s">
        <v>235</v>
      </c>
    </row>
    <row r="130" spans="1:12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  <c r="L130" t="s">
        <v>243</v>
      </c>
    </row>
    <row r="131" spans="1:12" x14ac:dyDescent="0.4">
      <c r="B131" s="6" t="s">
        <v>152</v>
      </c>
      <c r="C131" s="8" t="str">
        <f>IF(Completeness!D78=1,"Sì","No")</f>
        <v>Sì</v>
      </c>
      <c r="D131" s="8">
        <v>0</v>
      </c>
      <c r="E131" s="8">
        <v>0</v>
      </c>
      <c r="F131" s="8">
        <v>50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2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2" x14ac:dyDescent="0.4">
      <c r="B133" s="6"/>
      <c r="C133" s="8"/>
      <c r="D133" s="8"/>
      <c r="E133" s="8"/>
      <c r="F133" s="8"/>
      <c r="G133" s="6"/>
      <c r="H133" s="6"/>
      <c r="I133" s="11"/>
    </row>
    <row r="134" spans="1:12" x14ac:dyDescent="0.4">
      <c r="A134" s="4" t="s">
        <v>158</v>
      </c>
      <c r="B134" s="1">
        <f>I132</f>
        <v>0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2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2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2" x14ac:dyDescent="0.4">
      <c r="A137" s="4" t="s">
        <v>173</v>
      </c>
      <c r="B137" s="16">
        <f>IFERROR((B20+B44+B124+B134)/(COUNTIF(C20, "Sì")+COUNTIF(C44, "Sì")+COUNTIF(C124, "Sì")+COUNTIF(C134, "Sì")),  "Non calcolabile")</f>
        <v>0.50536691190341454</v>
      </c>
      <c r="C137" s="6"/>
      <c r="D137" s="14" t="s">
        <v>189</v>
      </c>
      <c r="E137" s="6"/>
      <c r="F137" s="6"/>
      <c r="G137" s="6"/>
      <c r="H137" s="6"/>
      <c r="I137" s="6"/>
    </row>
    <row r="138" spans="1:12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2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2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2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2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2" x14ac:dyDescent="0.4">
      <c r="D143" s="14" t="s">
        <v>195</v>
      </c>
    </row>
    <row r="144" spans="1:12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7" zoomScale="71" workbookViewId="0">
      <selection activeCell="B70" sqref="B70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No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No</v>
      </c>
      <c r="D24" s="3">
        <v>0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3" zoomScale="49" workbookViewId="0">
      <selection activeCell="D128" sqref="D128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No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No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No</v>
      </c>
      <c r="D36" s="8">
        <v>0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No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0.80000000000000016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5" zoomScale="64" workbookViewId="0">
      <selection activeCell="E37" sqref="E37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1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1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1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1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6</v>
      </c>
      <c r="E23" s="3">
        <f t="shared" si="1"/>
        <v>0.54545454545454541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1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6</v>
      </c>
      <c r="E25" s="3">
        <f t="shared" si="1"/>
        <v>0.54545454545454541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6</v>
      </c>
      <c r="E26" s="3">
        <f t="shared" si="1"/>
        <v>0.54545454545454541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1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6</v>
      </c>
      <c r="E28" s="3">
        <f t="shared" si="1"/>
        <v>0.54545454545454541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6</v>
      </c>
      <c r="E29" s="3">
        <f t="shared" si="1"/>
        <v>0.54545454545454541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1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6</v>
      </c>
      <c r="E31" s="3">
        <f t="shared" si="1"/>
        <v>0.54545454545454541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6</v>
      </c>
      <c r="E32" s="3">
        <f t="shared" si="1"/>
        <v>0.54545454545454541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1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6</v>
      </c>
      <c r="E34" s="3">
        <f t="shared" si="1"/>
        <v>0.54545454545454541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1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1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1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1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1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1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6</v>
      </c>
      <c r="E44" s="3">
        <f t="shared" si="1"/>
        <v>0.54545454545454541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6</v>
      </c>
      <c r="E46" s="3">
        <f t="shared" si="1"/>
        <v>0.54545454545454541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6</v>
      </c>
      <c r="E47" s="3">
        <f t="shared" si="1"/>
        <v>0.54545454545454541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1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6</v>
      </c>
      <c r="E49" s="3">
        <f t="shared" si="1"/>
        <v>0.54545454545454541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0.5454545454545453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0.27272727272727265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2" zoomScaleNormal="140" workbookViewId="0">
      <selection activeCell="B2" sqref="B2:C2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244</v>
      </c>
      <c r="C2" s="2" t="s">
        <v>245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2025-10-24T16:12:38Z</dcterms:modified>
</cp:coreProperties>
</file>