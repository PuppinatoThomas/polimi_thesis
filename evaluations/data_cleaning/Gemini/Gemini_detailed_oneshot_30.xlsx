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emini\"/>
    </mc:Choice>
  </mc:AlternateContent>
  <xr:revisionPtr revIDLastSave="0" documentId="13_ncr:1_{C0F6018B-D593-4B5D-86F6-08DF1621357B}" xr6:coauthVersionLast="47" xr6:coauthVersionMax="47" xr10:uidLastSave="{00000000-0000-0000-0000-000000000000}"/>
  <bookViews>
    <workbookView xWindow="-110" yWindow="-110" windowWidth="19420" windowHeight="10420" activeTab="4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C134" i="2"/>
  <c r="C8" i="2"/>
  <c r="C7" i="2"/>
  <c r="C6" i="2"/>
  <c r="C5" i="2"/>
  <c r="C4" i="2"/>
  <c r="C131" i="2"/>
  <c r="C130" i="2"/>
  <c r="H131" i="2"/>
  <c r="G131" i="2"/>
  <c r="H130" i="2"/>
  <c r="I130" i="2"/>
  <c r="H8" i="2"/>
  <c r="G8" i="2"/>
  <c r="H7" i="2"/>
  <c r="G7" i="2"/>
  <c r="H6" i="2"/>
  <c r="G6" i="2"/>
  <c r="I6" i="2" s="1"/>
  <c r="I5" i="2"/>
  <c r="H5" i="2"/>
  <c r="G5" i="2"/>
  <c r="H4" i="2"/>
  <c r="G4" i="2"/>
  <c r="C129" i="6"/>
  <c r="C128" i="6"/>
  <c r="C127" i="6"/>
  <c r="C126" i="6"/>
  <c r="C78" i="4"/>
  <c r="E5" i="5"/>
  <c r="E6" i="5"/>
  <c r="E7" i="5"/>
  <c r="E8" i="5"/>
  <c r="E4" i="5"/>
  <c r="I131" i="2" l="1"/>
  <c r="I132" i="2" s="1"/>
  <c r="B134" i="2" s="1"/>
  <c r="C132" i="6"/>
  <c r="I7" i="2"/>
  <c r="I4" i="2"/>
  <c r="C20" i="2"/>
  <c r="G9" i="2"/>
  <c r="B132" i="6"/>
  <c r="H132" i="2"/>
  <c r="I8" i="2"/>
  <c r="G132" i="2"/>
  <c r="H9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I9" i="2" l="1"/>
  <c r="B20" i="2" s="1"/>
  <c r="C77" i="4"/>
  <c r="B71" i="1"/>
  <c r="C81" i="4" l="1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0" i="6"/>
  <c r="B120" i="6"/>
  <c r="C55" i="5"/>
  <c r="B55" i="5"/>
  <c r="C124" i="2"/>
  <c r="B71" i="4"/>
  <c r="C71" i="4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B44" i="2" l="1"/>
  <c r="B137" i="2" s="1"/>
  <c r="C44" i="2"/>
  <c r="B40" i="6"/>
  <c r="C40" i="6"/>
  <c r="B27" i="4"/>
  <c r="C27" i="4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1" i="5" l="1"/>
  <c r="B11" i="5"/>
  <c r="B16" i="6"/>
  <c r="C16" i="6"/>
  <c r="B11" i="4"/>
  <c r="C11" i="4"/>
  <c r="B58" i="5" l="1"/>
  <c r="B135" i="6"/>
  <c r="B84" i="4"/>
</calcChain>
</file>

<file path=xl/sharedStrings.xml><?xml version="1.0" encoding="utf-8"?>
<sst xmlns="http://schemas.openxmlformats.org/spreadsheetml/2006/main" count="1270" uniqueCount="230">
  <si>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</si>
  <si>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</si>
  <si>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</si>
  <si>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</si>
  <si>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</si>
  <si>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</si>
  <si>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</si>
  <si>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</si>
  <si>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</si>
  <si>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</si>
  <si>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</si>
  <si>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</si>
  <si>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</si>
  <si>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</si>
  <si>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</si>
  <si>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</si>
  <si>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</si>
  <si>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</si>
  <si>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</si>
  <si>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</si>
  <si>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</si>
  <si>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</si>
  <si>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</si>
  <si>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</si>
  <si>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</si>
  <si>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</si>
  <si>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</si>
  <si>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</si>
  <si>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</si>
  <si>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</si>
  <si>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</si>
  <si>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</si>
  <si>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</si>
  <si>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</si>
  <si>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</si>
  <si>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</si>
  <si>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</si>
  <si>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</si>
  <si>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</si>
  <si>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</si>
  <si>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</si>
  <si>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</si>
  <si>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</si>
  <si>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</si>
  <si>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</si>
  <si>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</si>
  <si>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</si>
  <si>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</si>
  <si>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</si>
  <si>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</si>
  <si>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</si>
  <si>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</si>
  <si>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</si>
  <si>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</si>
  <si>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</si>
  <si>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</si>
  <si>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</si>
  <si>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</si>
  <si>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</si>
  <si>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</si>
  <si>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</si>
  <si>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</si>
  <si>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</si>
  <si>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</si>
  <si>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</si>
  <si>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</si>
  <si>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</si>
  <si>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</si>
  <si>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</si>
  <si>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</si>
  <si>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</si>
  <si>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</si>
  <si>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</si>
  <si>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</si>
  <si>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</si>
  <si>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</si>
  <si>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</si>
  <si>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</si>
  <si>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</si>
  <si>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</si>
  <si>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</si>
  <si>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</si>
  <si>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</si>
  <si>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</si>
  <si>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</si>
  <si>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</si>
  <si>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</si>
  <si>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</si>
  <si>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</si>
  <si>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</si>
  <si>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</si>
  <si>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</si>
  <si>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</si>
  <si>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</si>
  <si>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</si>
  <si>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</si>
  <si>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</si>
  <si>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</si>
  <si>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</si>
  <si>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</si>
  <si>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</si>
  <si>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</si>
  <si>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</si>
  <si>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</si>
  <si>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</si>
  <si>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</si>
  <si>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</si>
  <si>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</si>
  <si>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</si>
  <si>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</si>
  <si>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</si>
  <si>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</si>
  <si>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</si>
  <si>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</si>
  <si>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</si>
  <si>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</si>
  <si>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</si>
  <si>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</si>
  <si>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</si>
  <si>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</si>
  <si>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</si>
  <si>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</si>
  <si>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</si>
  <si>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</si>
  <si>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</si>
  <si>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</si>
  <si>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</si>
  <si>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</si>
  <si>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</si>
  <si>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</si>
  <si>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</si>
  <si>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</si>
  <si>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</si>
  <si>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</si>
  <si>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</si>
  <si>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</si>
  <si>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</si>
  <si>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</si>
  <si>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</si>
  <si>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</si>
  <si>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</si>
  <si>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</si>
  <si>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</si>
  <si>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</si>
  <si>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</si>
  <si>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</si>
  <si>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</si>
  <si>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</si>
  <si>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</si>
  <si>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</si>
  <si>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</si>
  <si>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</si>
  <si>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</si>
  <si>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</si>
  <si>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</si>
  <si>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</si>
  <si>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</si>
  <si>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</si>
  <si>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</si>
  <si>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</si>
  <si>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</si>
  <si>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</si>
  <si>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</si>
  <si>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</si>
  <si>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</si>
  <si>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</si>
  <si>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</si>
  <si>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</si>
  <si>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</si>
  <si>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</si>
  <si>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</si>
  <si>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</si>
  <si>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</si>
  <si>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</si>
  <si>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</si>
  <si>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</si>
  <si>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</si>
  <si>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</si>
  <si>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</si>
  <si>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</si>
  <si>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</si>
  <si>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</si>
  <si>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</si>
  <si>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</si>
  <si>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</si>
  <si>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</si>
  <si>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</si>
  <si>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3 - 9</t>
  </si>
  <si>
    <t>4 - 16 - 91</t>
  </si>
  <si>
    <t>5 - 45</t>
  </si>
  <si>
    <t>7 - 88 - 64</t>
  </si>
  <si>
    <t>10 - 35 - 47</t>
  </si>
  <si>
    <t>11 - 60</t>
  </si>
  <si>
    <t>12 - 82</t>
  </si>
  <si>
    <t>14 - 53</t>
  </si>
  <si>
    <t>15 - 65</t>
  </si>
  <si>
    <t>17 - 54 - 67</t>
  </si>
  <si>
    <t>18 - 86</t>
  </si>
  <si>
    <t>19 - 99</t>
  </si>
  <si>
    <t>22 - 79</t>
  </si>
  <si>
    <t>26 - 37</t>
  </si>
  <si>
    <t>29 - 40</t>
  </si>
  <si>
    <t>30 - 96</t>
  </si>
  <si>
    <t>31 - 52</t>
  </si>
  <si>
    <t>33 - 74</t>
  </si>
  <si>
    <t>42 - 70 - 92</t>
  </si>
  <si>
    <t>43 - 59</t>
  </si>
  <si>
    <t>44 - 61</t>
  </si>
  <si>
    <t>51 - 83</t>
  </si>
  <si>
    <t>55 - 69 - 77</t>
  </si>
  <si>
    <t>62 - 72</t>
  </si>
  <si>
    <t>menziona o fa l'exact matching</t>
  </si>
  <si>
    <t>menziona o fa il non-exact matching</t>
  </si>
  <si>
    <t>Completeness!B77</t>
  </si>
  <si>
    <t>898000.0, 898000.0, 949900.0, 999000.0, 1075000.0, 1075000.0, 2199000.0, 2365000.0, 9441500.0, 12312100.0</t>
  </si>
  <si>
    <t>1, 6, 6, 6, 7, 7, 7, 8, 8, 9, 9, 10, 11, 12</t>
  </si>
  <si>
    <t>5, 5, 5, 6, 8, 8, 8, 9, 9, 10, 10, 10, 12, 12</t>
  </si>
  <si>
    <t>0.59, 0.59, 0.7, 0.86, 0.9, 0.9, 1.04, 1.07, 2.12, 3.0, 6.69, 10.0, 10.0, 14.25, 27.59</t>
  </si>
  <si>
    <t>2.8, 11.0, 85.0, 87.0, 110.0, 140.0, 160.0, 160.0, 321.0, 4156.0, 4758.0, 8953.0, 10440.0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</si>
  <si>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</si>
  <si>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</si>
  <si>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</si>
  <si>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</si>
  <si>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</si>
  <si>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</si>
  <si>
    <t>Note</t>
  </si>
  <si>
    <t>Dei 12 errori,  8 sono dovuti alla mancata correzione dell'unità di misura</t>
  </si>
  <si>
    <t>In tutte le colonne, tra i valori mancanti sono conteggiati anche i valori che sarebbero stati trovati dalla soluzione proposta se non fossero stati rimosse alcune tuple precedentemente</t>
  </si>
  <si>
    <t>Nota</t>
  </si>
  <si>
    <t>il codice per pulire bath e bed toglie tutti i valori numerici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</si>
</sst>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51" zoomScale="75" workbookViewId="0">
      <selection activeCell="B58" sqref="B58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0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0.6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0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0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1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1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1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1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1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1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1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1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1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1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1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1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1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0.69444444444444442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211</v>
      </c>
      <c r="C77" s="3" t="s">
        <v>182</v>
      </c>
      <c r="D77" s="3">
        <v>0</v>
      </c>
    </row>
    <row r="78" spans="1:4" x14ac:dyDescent="0.4">
      <c r="B78" t="s">
        <v>212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0.69861111111111107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58"/>
  <sheetViews>
    <sheetView topLeftCell="A114" zoomScale="57" zoomScaleNormal="57" workbookViewId="0">
      <selection activeCell="L37" sqref="L37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2" x14ac:dyDescent="0.4">
      <c r="A1" s="4" t="s">
        <v>18</v>
      </c>
      <c r="C1" s="2"/>
    </row>
    <row r="2" spans="1:12" x14ac:dyDescent="0.4">
      <c r="D2" s="3"/>
    </row>
    <row r="3" spans="1:12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  <c r="L3" s="3" t="s">
        <v>225</v>
      </c>
    </row>
    <row r="4" spans="1:12" x14ac:dyDescent="0.4">
      <c r="A4" t="s">
        <v>0</v>
      </c>
      <c r="B4" t="s">
        <v>159</v>
      </c>
      <c r="C4" s="3" t="str">
        <f>IF(Completeness!D4=1,"Sì","No")</f>
        <v>Sì</v>
      </c>
      <c r="D4" s="3">
        <v>6</v>
      </c>
      <c r="E4" s="3">
        <v>0</v>
      </c>
      <c r="F4" s="3">
        <v>4</v>
      </c>
      <c r="G4">
        <f>IF(D4+E4=0, 0, D4/(D4+E4))</f>
        <v>1</v>
      </c>
      <c r="H4">
        <f>IF(D4+F4=0, 0, D4/(D4+F4))</f>
        <v>0.6</v>
      </c>
      <c r="I4" s="3">
        <f>IF(G4+H4=0, 0,(2*G4*H4)/(G4+H4))</f>
        <v>0.74999999999999989</v>
      </c>
      <c r="J4" s="2" t="s">
        <v>178</v>
      </c>
      <c r="L4" t="s">
        <v>227</v>
      </c>
    </row>
    <row r="5" spans="1:12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2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2" x14ac:dyDescent="0.4">
      <c r="A7" t="s">
        <v>3</v>
      </c>
      <c r="B7" t="s">
        <v>162</v>
      </c>
      <c r="C7" s="3" t="str">
        <f>IF(Completeness!D7=1,"Sì","No")</f>
        <v>Sì</v>
      </c>
      <c r="D7" s="3">
        <v>12</v>
      </c>
      <c r="E7" s="3">
        <v>1</v>
      </c>
      <c r="F7" s="3">
        <v>3</v>
      </c>
      <c r="G7">
        <f t="shared" si="0"/>
        <v>0.92307692307692313</v>
      </c>
      <c r="H7">
        <f t="shared" si="1"/>
        <v>0.8</v>
      </c>
      <c r="I7" s="3">
        <f t="shared" si="2"/>
        <v>0.8571428571428571</v>
      </c>
      <c r="J7" s="2" t="s">
        <v>16</v>
      </c>
    </row>
    <row r="8" spans="1:12" x14ac:dyDescent="0.4">
      <c r="A8" t="s">
        <v>4</v>
      </c>
      <c r="B8" t="s">
        <v>163</v>
      </c>
      <c r="C8" s="3" t="str">
        <f>IF(Completeness!D8=1,"Sì","No")</f>
        <v>Sì</v>
      </c>
      <c r="D8" s="3">
        <v>11</v>
      </c>
      <c r="E8" s="3">
        <v>12</v>
      </c>
      <c r="F8" s="3">
        <v>2</v>
      </c>
      <c r="G8">
        <f t="shared" si="0"/>
        <v>0.47826086956521741</v>
      </c>
      <c r="H8">
        <f t="shared" si="1"/>
        <v>0.84615384615384615</v>
      </c>
      <c r="I8" s="3">
        <f t="shared" si="2"/>
        <v>0.61111111111111116</v>
      </c>
      <c r="J8" s="2" t="s">
        <v>17</v>
      </c>
      <c r="L8" t="s">
        <v>226</v>
      </c>
    </row>
    <row r="9" spans="1:12" x14ac:dyDescent="0.4">
      <c r="C9" s="3"/>
      <c r="D9" s="3"/>
      <c r="E9" s="3"/>
      <c r="F9" s="3"/>
      <c r="G9" s="4">
        <f>IFERROR(SUM(G4:G8)/COUNTIF(C4:C8, "Sì"), 0)</f>
        <v>0.80044593088071359</v>
      </c>
      <c r="H9" s="4">
        <f>IFERROR(SUM(H4:H8)/COUNTIF(C4:C8, "Sì"), 0)</f>
        <v>0.74871794871794872</v>
      </c>
      <c r="I9" s="13">
        <f>IFERROR(SUM(I4:I8)/COUNTIF(C4:C8, "Sì"), 0)</f>
        <v>0.73941798941798942</v>
      </c>
    </row>
    <row r="10" spans="1:12" x14ac:dyDescent="0.4">
      <c r="B10" s="3"/>
      <c r="C10" s="3"/>
      <c r="D10" s="3"/>
    </row>
    <row r="11" spans="1:12" x14ac:dyDescent="0.4">
      <c r="B11" s="3"/>
      <c r="C11" s="3"/>
      <c r="D11" s="3"/>
    </row>
    <row r="12" spans="1:12" x14ac:dyDescent="0.4">
      <c r="A12" s="4" t="s">
        <v>19</v>
      </c>
      <c r="B12" s="3"/>
      <c r="C12" s="3"/>
      <c r="D12" s="3"/>
    </row>
    <row r="13" spans="1:12" x14ac:dyDescent="0.4">
      <c r="A13" t="s">
        <v>0</v>
      </c>
      <c r="B13" s="2" t="s">
        <v>214</v>
      </c>
      <c r="C13" s="3"/>
      <c r="D13" s="3"/>
    </row>
    <row r="14" spans="1:12" x14ac:dyDescent="0.4">
      <c r="A14" t="s">
        <v>1</v>
      </c>
      <c r="B14" s="2" t="s">
        <v>215</v>
      </c>
      <c r="C14" s="3"/>
      <c r="D14" s="3"/>
    </row>
    <row r="15" spans="1:12" x14ac:dyDescent="0.4">
      <c r="A15" t="s">
        <v>2</v>
      </c>
      <c r="B15" s="2" t="s">
        <v>216</v>
      </c>
      <c r="C15" s="3"/>
      <c r="D15" s="3"/>
    </row>
    <row r="16" spans="1:12" x14ac:dyDescent="0.4">
      <c r="A16" t="s">
        <v>3</v>
      </c>
      <c r="B16" s="2" t="s">
        <v>217</v>
      </c>
      <c r="C16" s="3"/>
      <c r="D16" s="3"/>
    </row>
    <row r="17" spans="1:12" x14ac:dyDescent="0.4">
      <c r="A17" t="s">
        <v>4</v>
      </c>
      <c r="B17" s="2" t="s">
        <v>218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0.73941798941798942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No</v>
      </c>
      <c r="D26" s="8">
        <v>0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No</v>
      </c>
      <c r="D27" s="8">
        <v>0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0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0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No</v>
      </c>
      <c r="D36" s="8">
        <v>0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No</v>
      </c>
      <c r="D37" s="8">
        <v>0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0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0.85000000000000009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219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1</v>
      </c>
      <c r="E50" s="6" t="s">
        <v>92</v>
      </c>
      <c r="F50" t="s">
        <v>220</v>
      </c>
      <c r="G50" s="6"/>
      <c r="I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1</v>
      </c>
      <c r="E51" s="6" t="s">
        <v>92</v>
      </c>
      <c r="F51" t="s">
        <v>220</v>
      </c>
      <c r="G51" s="6"/>
      <c r="I51" s="6" t="s">
        <v>82</v>
      </c>
      <c r="P51" s="7" t="str">
        <f t="shared" ref="P51:P114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Sì</v>
      </c>
      <c r="D52" s="8">
        <v>1</v>
      </c>
      <c r="E52" s="6" t="s">
        <v>93</v>
      </c>
      <c r="F52" t="s">
        <v>220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Sì</v>
      </c>
      <c r="D53" s="8">
        <v>1</v>
      </c>
      <c r="E53" s="6" t="s">
        <v>93</v>
      </c>
      <c r="F53" t="s">
        <v>220</v>
      </c>
      <c r="G53" s="6"/>
      <c r="I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1</v>
      </c>
      <c r="E54" s="6" t="s">
        <v>94</v>
      </c>
      <c r="F54" t="s">
        <v>220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1</v>
      </c>
      <c r="E55" s="6" t="s">
        <v>94</v>
      </c>
      <c r="F55" t="s">
        <v>220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t="s">
        <v>220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t="s">
        <v>220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t="s">
        <v>220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t="s">
        <v>220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t="s">
        <v>220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t="s">
        <v>220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221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221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Sì</v>
      </c>
      <c r="D64" s="8">
        <v>1</v>
      </c>
      <c r="E64" s="6" t="s">
        <v>99</v>
      </c>
      <c r="F64" t="s">
        <v>221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Sì</v>
      </c>
      <c r="D65" s="8">
        <v>0</v>
      </c>
      <c r="E65" s="6" t="s">
        <v>99</v>
      </c>
      <c r="F65" t="s">
        <v>221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221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221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222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1</v>
      </c>
      <c r="E69" s="6" t="s">
        <v>101</v>
      </c>
      <c r="F69" t="s">
        <v>222</v>
      </c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Sì</v>
      </c>
      <c r="D70" s="8">
        <v>1</v>
      </c>
      <c r="E70" s="6" t="s">
        <v>102</v>
      </c>
      <c r="F70" t="s">
        <v>222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Sì</v>
      </c>
      <c r="D71" s="8">
        <v>1</v>
      </c>
      <c r="E71" s="6" t="s">
        <v>102</v>
      </c>
      <c r="F71" t="s">
        <v>222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222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1</v>
      </c>
      <c r="E73" s="6" t="s">
        <v>103</v>
      </c>
      <c r="F73" t="s">
        <v>222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222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1</v>
      </c>
      <c r="E75" s="6" t="s">
        <v>104</v>
      </c>
      <c r="F75" t="s">
        <v>222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Sì</v>
      </c>
      <c r="D76" s="8">
        <v>1</v>
      </c>
      <c r="E76" s="6" t="s">
        <v>105</v>
      </c>
      <c r="F76" t="s">
        <v>222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Sì</v>
      </c>
      <c r="D77" s="8">
        <v>1</v>
      </c>
      <c r="E77" s="6" t="s">
        <v>105</v>
      </c>
      <c r="F77" t="s">
        <v>222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t="s">
        <v>222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1</v>
      </c>
      <c r="E79" s="6" t="s">
        <v>106</v>
      </c>
      <c r="F79" t="s">
        <v>222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t="s">
        <v>221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t="s">
        <v>221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Sì</v>
      </c>
      <c r="D82" s="8">
        <v>1</v>
      </c>
      <c r="E82" s="6" t="s">
        <v>108</v>
      </c>
      <c r="F82" t="s">
        <v>221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Sì</v>
      </c>
      <c r="D83" s="8">
        <v>0</v>
      </c>
      <c r="E83" s="6" t="s">
        <v>108</v>
      </c>
      <c r="F83" t="s">
        <v>221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1</v>
      </c>
      <c r="E84" s="6" t="s">
        <v>109</v>
      </c>
      <c r="F84" t="s">
        <v>221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0</v>
      </c>
      <c r="E85" s="6" t="s">
        <v>109</v>
      </c>
      <c r="F85" t="s">
        <v>221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t="s">
        <v>220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t="s">
        <v>220</v>
      </c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t="s">
        <v>220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t="s">
        <v>220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t="s">
        <v>220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t="s">
        <v>220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Sì</v>
      </c>
      <c r="D92" s="8">
        <v>1</v>
      </c>
      <c r="E92" s="6" t="s">
        <v>113</v>
      </c>
      <c r="F92" t="s">
        <v>220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Sì</v>
      </c>
      <c r="D93" s="8">
        <v>0</v>
      </c>
      <c r="E93" s="6" t="s">
        <v>113</v>
      </c>
      <c r="F93" t="s">
        <v>220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t="s">
        <v>220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t="s">
        <v>220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t="s">
        <v>220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0</v>
      </c>
      <c r="E97" s="6" t="s">
        <v>115</v>
      </c>
      <c r="F97" t="s">
        <v>220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Sì</v>
      </c>
      <c r="D98" s="8">
        <v>1</v>
      </c>
      <c r="E98" s="6" t="s">
        <v>116</v>
      </c>
      <c r="F98" t="s">
        <v>223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Sì</v>
      </c>
      <c r="D99" s="8">
        <v>0</v>
      </c>
      <c r="E99" s="6" t="s">
        <v>116</v>
      </c>
      <c r="F99" t="s">
        <v>223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t="s">
        <v>223</v>
      </c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t="s">
        <v>223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t="s">
        <v>223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F103" t="s">
        <v>223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Sì</v>
      </c>
      <c r="D104" s="8">
        <v>1</v>
      </c>
      <c r="E104" s="6" t="s">
        <v>119</v>
      </c>
      <c r="F104" t="s">
        <v>224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Sì</v>
      </c>
      <c r="D105" s="8">
        <v>0</v>
      </c>
      <c r="E105" s="6" t="s">
        <v>119</v>
      </c>
      <c r="F105" t="s">
        <v>224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Sì</v>
      </c>
      <c r="D106" s="8">
        <v>1</v>
      </c>
      <c r="E106" s="6" t="s">
        <v>120</v>
      </c>
      <c r="F106" t="s">
        <v>224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Sì</v>
      </c>
      <c r="D107" s="8">
        <v>0</v>
      </c>
      <c r="E107" s="6" t="s">
        <v>120</v>
      </c>
      <c r="F107" t="s">
        <v>224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Sì</v>
      </c>
      <c r="D108" s="8">
        <v>1</v>
      </c>
      <c r="E108" s="6" t="s">
        <v>121</v>
      </c>
      <c r="F108" t="s">
        <v>224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Sì</v>
      </c>
      <c r="D109" s="8">
        <v>0</v>
      </c>
      <c r="E109" s="6" t="s">
        <v>121</v>
      </c>
      <c r="F109" t="s">
        <v>224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221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221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Sì</v>
      </c>
      <c r="D112" s="8">
        <v>1</v>
      </c>
      <c r="E112" s="6" t="s">
        <v>123</v>
      </c>
      <c r="F112" t="s">
        <v>221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Sì</v>
      </c>
      <c r="D113" s="8">
        <v>0</v>
      </c>
      <c r="E113" s="6" t="s">
        <v>123</v>
      </c>
      <c r="F113" t="s">
        <v>221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221</v>
      </c>
      <c r="G114" s="6"/>
      <c r="H114" s="6"/>
      <c r="P114" s="7" t="str">
        <f t="shared" si="4"/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221</v>
      </c>
      <c r="G115" s="6"/>
      <c r="H115" s="6"/>
      <c r="P115" s="7" t="str">
        <f t="shared" ref="P115:P121" si="5">IF(MOD(ROW(), 2)=0, "Pari", "Dispari")</f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t="s">
        <v>220</v>
      </c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t="s">
        <v>220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t="s">
        <v>220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t="s">
        <v>220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t="s">
        <v>220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t="s">
        <v>220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0.872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v>0</v>
      </c>
      <c r="H130" s="6">
        <f>IFERROR(D130/(D130+F130), 0)</f>
        <v>0</v>
      </c>
      <c r="I130">
        <f>IFERROR((2*G130*H130)/(G130+H130), 0)</f>
        <v>0</v>
      </c>
      <c r="J130" s="11" t="s">
        <v>213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0</v>
      </c>
      <c r="E131" s="8">
        <v>0</v>
      </c>
      <c r="F131" s="8">
        <v>30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0)</f>
        <v>0.61535449735449732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40" zoomScale="72" workbookViewId="0">
      <selection activeCell="D52" sqref="D52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1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1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No</v>
      </c>
      <c r="D17" s="3">
        <v>0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No</v>
      </c>
      <c r="D22" s="3">
        <v>0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Sì</v>
      </c>
      <c r="D34" s="3">
        <v>1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Sì</v>
      </c>
      <c r="D40" s="3">
        <v>1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Sì</v>
      </c>
      <c r="D43" s="3">
        <v>1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Sì</v>
      </c>
      <c r="D46" s="3">
        <v>1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Sì</v>
      </c>
      <c r="D49" s="3">
        <v>1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Sì</v>
      </c>
      <c r="D54" s="3">
        <v>1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Sì</v>
      </c>
      <c r="D57" s="3">
        <v>1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Sì</v>
      </c>
      <c r="D60" s="3">
        <v>1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Sì</v>
      </c>
      <c r="D61" s="3">
        <v>1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Sì</v>
      </c>
      <c r="D62" s="3">
        <v>1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Sì</v>
      </c>
      <c r="D64" s="3">
        <v>1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213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0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0)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98" zoomScale="66" workbookViewId="0">
      <selection activeCell="D82" sqref="D82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0.80000000000000016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No</v>
      </c>
      <c r="D22" s="8">
        <v>0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No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No</v>
      </c>
      <c r="D32" s="8">
        <v>0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No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1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Sì</v>
      </c>
      <c r="D48" s="8">
        <v>1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Sì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1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Sì</v>
      </c>
      <c r="D60" s="8">
        <v>1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Sì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1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Sì</v>
      </c>
      <c r="D66" s="8">
        <v>1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Sì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1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1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Sì</v>
      </c>
      <c r="D72" s="8">
        <v>1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Sì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1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1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Sì</v>
      </c>
      <c r="D78" s="8">
        <v>1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Sì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1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Sì</v>
      </c>
      <c r="D88" s="8">
        <v>1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Sì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1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Sì</v>
      </c>
      <c r="D94" s="8">
        <v>1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Sì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1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Sì</v>
      </c>
      <c r="D100" s="8">
        <v>1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Sì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Sì</v>
      </c>
      <c r="D102" s="8">
        <v>1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Sì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Sì</v>
      </c>
      <c r="D104" s="8">
        <v>1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Sì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1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Sì</v>
      </c>
      <c r="D108" s="8">
        <v>1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Sì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1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0.8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213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213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0)</f>
        <v>0.8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abSelected="1" topLeftCell="A46" zoomScale="84" workbookViewId="0">
      <selection activeCell="D45" sqref="D45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3</v>
      </c>
      <c r="E4" s="3">
        <f>1-((D4-1)/4)</f>
        <v>0.5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3</v>
      </c>
      <c r="E7" s="3">
        <f>1-((D7-1)/4)</f>
        <v>0.5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3</v>
      </c>
      <c r="E8" s="3">
        <f>1-((D8-1)/4)</f>
        <v>0.5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0.5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1</v>
      </c>
      <c r="E17" s="3">
        <f t="shared" ref="E17:E52" si="0">1-((D17-1)/11)</f>
        <v>1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Sì</v>
      </c>
      <c r="D18" s="3">
        <v>1</v>
      </c>
      <c r="E18" s="3">
        <f t="shared" si="0"/>
        <v>1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1</v>
      </c>
      <c r="E19" s="3">
        <f t="shared" si="0"/>
        <v>1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0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0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0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5</v>
      </c>
      <c r="E23" s="3">
        <f t="shared" si="0"/>
        <v>0.63636363636363635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Sì</v>
      </c>
      <c r="D24" s="3">
        <v>5</v>
      </c>
      <c r="E24" s="3">
        <f t="shared" si="0"/>
        <v>0.63636363636363635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5</v>
      </c>
      <c r="E25" s="3">
        <f t="shared" si="0"/>
        <v>0.63636363636363635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5</v>
      </c>
      <c r="E26" s="3">
        <f t="shared" si="0"/>
        <v>0.63636363636363635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Sì</v>
      </c>
      <c r="D27" s="3">
        <v>5</v>
      </c>
      <c r="E27" s="3">
        <f t="shared" si="0"/>
        <v>0.63636363636363635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5</v>
      </c>
      <c r="E28" s="3">
        <f t="shared" si="0"/>
        <v>0.63636363636363635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5</v>
      </c>
      <c r="E29" s="3">
        <f t="shared" si="0"/>
        <v>0.63636363636363635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Sì</v>
      </c>
      <c r="D30" s="3">
        <v>5</v>
      </c>
      <c r="E30" s="3">
        <f t="shared" si="0"/>
        <v>0.63636363636363635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5</v>
      </c>
      <c r="E31" s="3">
        <f t="shared" si="0"/>
        <v>0.63636363636363635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5</v>
      </c>
      <c r="E32" s="3">
        <f t="shared" si="0"/>
        <v>0.63636363636363635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Sì</v>
      </c>
      <c r="D33" s="3">
        <v>5</v>
      </c>
      <c r="E33" s="3">
        <f t="shared" si="0"/>
        <v>0.63636363636363635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5</v>
      </c>
      <c r="E34" s="3">
        <f t="shared" si="0"/>
        <v>0.63636363636363635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Sì</v>
      </c>
      <c r="D38" s="3">
        <v>2</v>
      </c>
      <c r="E38" s="3">
        <f t="shared" si="0"/>
        <v>0.90909090909090906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0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3</v>
      </c>
      <c r="E40" s="3">
        <f t="shared" si="0"/>
        <v>0.81818181818181812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Sì</v>
      </c>
      <c r="D41" s="3">
        <v>2</v>
      </c>
      <c r="E41" s="3">
        <f t="shared" si="0"/>
        <v>0.90909090909090906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0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3</v>
      </c>
      <c r="E43" s="3">
        <f t="shared" si="0"/>
        <v>0.81818181818181812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Sì</v>
      </c>
      <c r="D44" s="3">
        <v>1</v>
      </c>
      <c r="E44" s="3">
        <f t="shared" si="0"/>
        <v>1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Sì</v>
      </c>
      <c r="D45" s="3">
        <v>1</v>
      </c>
      <c r="E45" s="3">
        <f t="shared" si="0"/>
        <v>1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Sì</v>
      </c>
      <c r="D46" s="3">
        <v>3</v>
      </c>
      <c r="E46" s="3">
        <f t="shared" si="0"/>
        <v>0.81818181818181812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5</v>
      </c>
      <c r="E47" s="3">
        <f t="shared" si="0"/>
        <v>0.63636363636363635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Sì</v>
      </c>
      <c r="D48" s="3">
        <v>5</v>
      </c>
      <c r="E48" s="3">
        <f t="shared" si="0"/>
        <v>0.63636363636363635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5</v>
      </c>
      <c r="E49" s="3">
        <f t="shared" si="0"/>
        <v>0.63636363636363635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0.7527272727272728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IFERROR((B11+B55)/(COUNTIF(C11, "Sì")+COUNTIF(C55,"Sì")), "Non calcolabile")</f>
        <v>0.62636363636363646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A10" sqref="A10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 t="s">
        <v>228</v>
      </c>
      <c r="B8" s="6"/>
      <c r="C8" s="8"/>
      <c r="D8" s="8"/>
      <c r="E8" s="6"/>
    </row>
    <row r="9" spans="1:5" x14ac:dyDescent="0.4">
      <c r="A9" s="6" t="s">
        <v>229</v>
      </c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2025-10-09T15:36:20Z</dcterms:modified>
</cp:coreProperties>
</file>