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Gemini\"/>
    </mc:Choice>
  </mc:AlternateContent>
  <xr:revisionPtr revIDLastSave="0" documentId="13_ncr:1_{7ABC9C0A-49C2-4439-804D-F31E577F7C0B}" xr6:coauthVersionLast="47" xr6:coauthVersionMax="47" xr10:uidLastSave="{00000000-0000-0000-0000-000000000000}"/>
  <bookViews>
    <workbookView xWindow="-110" yWindow="-110" windowWidth="19420" windowHeight="10420" activeTab="1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5" l="1"/>
  <c r="E24" i="5"/>
  <c r="E25" i="5"/>
  <c r="E26" i="5"/>
  <c r="E27" i="5"/>
  <c r="E28" i="5"/>
  <c r="E29" i="5"/>
  <c r="E30" i="5"/>
  <c r="E31" i="5"/>
  <c r="E32" i="5"/>
  <c r="E33" i="5"/>
  <c r="B81" i="1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P114" i="2"/>
  <c r="P115" i="2"/>
  <c r="P116" i="2"/>
  <c r="P117" i="2"/>
  <c r="P118" i="2"/>
  <c r="P119" i="2"/>
  <c r="P120" i="2"/>
  <c r="P121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50" i="2"/>
  <c r="C132" i="6"/>
  <c r="B132" i="6"/>
  <c r="C131" i="2"/>
  <c r="C134" i="2" s="1"/>
  <c r="C130" i="2"/>
  <c r="H131" i="2"/>
  <c r="G131" i="2"/>
  <c r="H130" i="2"/>
  <c r="G130" i="2"/>
  <c r="G132" i="2"/>
  <c r="C8" i="2"/>
  <c r="C7" i="2"/>
  <c r="C6" i="2"/>
  <c r="C5" i="2"/>
  <c r="C4" i="2"/>
  <c r="H8" i="2"/>
  <c r="G8" i="2"/>
  <c r="H7" i="2"/>
  <c r="G7" i="2"/>
  <c r="H6" i="2"/>
  <c r="G6" i="2"/>
  <c r="I5" i="2"/>
  <c r="H5" i="2"/>
  <c r="G5" i="2"/>
  <c r="H4" i="2"/>
  <c r="G4" i="2"/>
  <c r="C129" i="6"/>
  <c r="C128" i="6"/>
  <c r="C127" i="6"/>
  <c r="C126" i="6"/>
  <c r="C78" i="4"/>
  <c r="B81" i="4" s="1"/>
  <c r="E5" i="5"/>
  <c r="E6" i="5"/>
  <c r="E7" i="5"/>
  <c r="E8" i="5"/>
  <c r="E4" i="5"/>
  <c r="I130" i="2" l="1"/>
  <c r="I6" i="2"/>
  <c r="I8" i="2"/>
  <c r="I7" i="2"/>
  <c r="C20" i="2"/>
  <c r="I131" i="2"/>
  <c r="C81" i="4"/>
  <c r="G9" i="2"/>
  <c r="H9" i="2"/>
  <c r="H132" i="2"/>
  <c r="I4" i="2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I9" i="2" l="1"/>
  <c r="B20" i="2" s="1"/>
  <c r="I132" i="2"/>
  <c r="B134" i="2" s="1"/>
  <c r="C77" i="4"/>
  <c r="B71" i="1"/>
  <c r="C117" i="6" l="1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C33" i="5"/>
  <c r="C32" i="5"/>
  <c r="C31" i="5"/>
  <c r="C30" i="5"/>
  <c r="C29" i="5"/>
  <c r="C28" i="5"/>
  <c r="C27" i="5"/>
  <c r="C26" i="5"/>
  <c r="C25" i="5"/>
  <c r="C24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B124" i="2" l="1"/>
  <c r="C124" i="2"/>
  <c r="C71" i="4"/>
  <c r="B71" i="4"/>
  <c r="B120" i="6"/>
  <c r="C120" i="6"/>
  <c r="C55" i="5"/>
  <c r="B55" i="5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B27" i="1"/>
  <c r="C27" i="4" l="1"/>
  <c r="B27" i="4"/>
  <c r="C40" i="6"/>
  <c r="B40" i="6"/>
  <c r="C44" i="2"/>
  <c r="B44" i="2"/>
  <c r="B137" i="2" s="1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C16" i="6" l="1"/>
  <c r="B16" i="6"/>
  <c r="B135" i="6" s="1"/>
  <c r="B11" i="4"/>
  <c r="C11" i="4"/>
  <c r="B11" i="5"/>
  <c r="C11" i="5"/>
  <c r="B84" i="4" l="1"/>
  <c r="B58" i="5"/>
</calcChain>
</file>

<file path=xl/sharedStrings.xml><?xml version="1.0" encoding="utf-8"?>
<sst xmlns="http://schemas.openxmlformats.org/spreadsheetml/2006/main" count="1284" uniqueCount="244">
  <si>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</si>
  <si>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</si>
  <si>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</si>
  <si>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</si>
  <si>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</si>
  <si>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</si>
  <si>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</si>
  <si>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</si>
  <si>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</si>
  <si>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</si>
  <si>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</si>
  <si>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</si>
  <si>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</si>
  <si>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</si>
  <si>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</si>
  <si>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</si>
  <si>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</si>
  <si>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</si>
  <si>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</si>
  <si>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</si>
  <si>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</si>
  <si>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</si>
  <si>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</si>
  <si>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</si>
  <si>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</si>
  <si>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</si>
  <si>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</si>
  <si>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</si>
  <si>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</si>
  <si>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</si>
  <si>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</si>
  <si>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</si>
  <si>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</si>
  <si>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</si>
  <si>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</si>
  <si>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</si>
  <si>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</si>
  <si>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</si>
  <si>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</si>
  <si>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</si>
  <si>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</si>
  <si>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</si>
  <si>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</si>
  <si>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</si>
  <si>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</si>
  <si>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</si>
  <si>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</si>
  <si>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</si>
  <si>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</si>
  <si>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</si>
  <si>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</si>
  <si>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</si>
  <si>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</si>
  <si>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</si>
  <si>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</si>
  <si>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</si>
  <si>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</si>
  <si>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</si>
  <si>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</si>
  <si>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</si>
  <si>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</si>
  <si>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</si>
  <si>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</si>
  <si>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</si>
  <si>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</si>
  <si>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</si>
  <si>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</si>
  <si>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</si>
  <si>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</si>
  <si>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</si>
  <si>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</si>
  <si>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</si>
  <si>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</si>
  <si>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</si>
  <si>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</si>
  <si>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</si>
  <si>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</si>
  <si>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</si>
  <si>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</si>
  <si>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</si>
  <si>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</si>
  <si>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</si>
  <si>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</si>
  <si>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</si>
  <si>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</si>
  <si>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</si>
  <si>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</si>
  <si>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</si>
  <si>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</si>
  <si>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</si>
  <si>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</si>
  <si>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</si>
  <si>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</si>
  <si>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</si>
  <si>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</si>
  <si>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</si>
  <si>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</si>
  <si>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</si>
  <si>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</si>
  <si>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</si>
  <si>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</si>
  <si>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</si>
  <si>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</si>
  <si>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</si>
  <si>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</si>
  <si>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</si>
  <si>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</si>
  <si>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</si>
  <si>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</si>
  <si>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</si>
  <si>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</si>
  <si>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</si>
  <si>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</si>
  <si>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</si>
  <si>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</si>
  <si>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</si>
  <si>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</si>
  <si>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</si>
  <si>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</si>
  <si>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</si>
  <si>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</si>
  <si>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</si>
  <si>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</si>
  <si>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</si>
  <si>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</si>
  <si>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</si>
  <si>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</si>
  <si>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</si>
  <si>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</si>
  <si>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</si>
  <si>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</si>
  <si>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</si>
  <si>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</si>
  <si>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</si>
  <si>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</si>
  <si>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</si>
  <si>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</si>
  <si>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</si>
  <si>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</si>
  <si>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</si>
  <si>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</si>
  <si>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</si>
  <si>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</si>
  <si>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</si>
  <si>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</si>
  <si>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</si>
  <si>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</si>
  <si>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</si>
  <si>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</si>
  <si>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</si>
  <si>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</si>
  <si>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</si>
  <si>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</si>
  <si>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</si>
  <si>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</si>
  <si>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</si>
  <si>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</si>
  <si>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</si>
  <si>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</si>
  <si>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</si>
  <si>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</si>
  <si>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</si>
  <si>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</si>
  <si>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</si>
  <si>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</si>
  <si>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</si>
  <si>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</si>
  <si>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</si>
  <si>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</si>
  <si>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</si>
  <si>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</si>
  <si>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</si>
  <si>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</si>
  <si>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</si>
  <si>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</si>
  <si>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</si>
  <si>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</si>
  <si>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</si>
  <si>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</si>
  <si>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</si>
  <si>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</si>
  <si>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</si>
  <si>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</si>
  <si>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</si>
  <si>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</si>
  <si>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</si>
  <si>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</si>
  <si>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0 - 72</t>
  </si>
  <si>
    <t>1 - 8</t>
  </si>
  <si>
    <t>2 - 9</t>
  </si>
  <si>
    <t>3 - 14 - 33</t>
  </si>
  <si>
    <t>4 - 92</t>
  </si>
  <si>
    <t>5 - 67</t>
  </si>
  <si>
    <t>6 - 64 - 65</t>
  </si>
  <si>
    <t>7 - 60 - 89</t>
  </si>
  <si>
    <t>10 - 17</t>
  </si>
  <si>
    <t>11 - 42</t>
  </si>
  <si>
    <t>12 - 85</t>
  </si>
  <si>
    <t>13 - 62</t>
  </si>
  <si>
    <t>15 - 36</t>
  </si>
  <si>
    <t>16 - 39</t>
  </si>
  <si>
    <t>18 - 78 - 90</t>
  </si>
  <si>
    <t>19 - 82 - 87</t>
  </si>
  <si>
    <t>20 - 31</t>
  </si>
  <si>
    <t>21 - 98 - 30</t>
  </si>
  <si>
    <t>22 - 91</t>
  </si>
  <si>
    <t>23 - 56</t>
  </si>
  <si>
    <t>24 - 96</t>
  </si>
  <si>
    <t>25 - 68</t>
  </si>
  <si>
    <t>27 - 44</t>
  </si>
  <si>
    <t>28 - 80 - 79</t>
  </si>
  <si>
    <t>29 - 76</t>
  </si>
  <si>
    <t>34 - 43 - 71</t>
  </si>
  <si>
    <t>35 - 38</t>
  </si>
  <si>
    <t>37 - 47</t>
  </si>
  <si>
    <t>41 - 75</t>
  </si>
  <si>
    <t>48 - 58</t>
  </si>
  <si>
    <t>49 - 50</t>
  </si>
  <si>
    <t>51 - 77 - 95</t>
  </si>
  <si>
    <t>52 - 54</t>
  </si>
  <si>
    <t>53 - 66 - 94</t>
  </si>
  <si>
    <t>57 - 84</t>
  </si>
  <si>
    <t>59 - 81</t>
  </si>
  <si>
    <t>61 - 99</t>
  </si>
  <si>
    <t>63 - 73</t>
  </si>
  <si>
    <t>70 - 88</t>
  </si>
  <si>
    <t>83 - 93</t>
  </si>
  <si>
    <t>menziona o fa l'exact matching</t>
  </si>
  <si>
    <t>menziona o fa il non-exact matching</t>
  </si>
  <si>
    <t>Completeness!B77</t>
  </si>
  <si>
    <t>13400.0, 20900.0, 24400.0, 26700.0, 27100.0, 635000.0, 699000.0, 699000.0, 725000.0, 725000.0, 749000.0, 888000.0, 999000.0, 999000.0, 1300000.0, 2365000.0</t>
  </si>
  <si>
    <t>9, 9, 9, 10, 10, 11, 11, 11, 11</t>
  </si>
  <si>
    <t>5, 5, 5, 6, 6, 6, 6, 7, 7, 8, 8, 8, 8, 8, 9, 10, 10, 10, 10, 10</t>
  </si>
  <si>
    <t>0.7, 0.83, 0.83, 1.07, 2.12, 10.0, 10.0, 14.25, 14.25, 27.59, 48.0</t>
  </si>
  <si>
    <t>7.7, 57.0, 58.0, 59.0, 60.0, 70.0, 89.0, 90.0, 110.0, 120.0, 140.0, 321.0, 321.0, 321.0, 3039.999999999114, 3057.0, 3351.999999999214, 3625.0, 3765.0, 3765.0, 4156.0, 4757.999999999432, 4757.999999999432, 4905.0, 6278.0, 8640.0, 9537.0, 9564.0, 9708.0, 9714.0</t>
  </si>
  <si>
    <t>Fa delle cose abbastanza preoccupanti: 1 - prima dice che bed e bath sono categoriche e usa un tipo di imputazione, poi fa delle correzioni, cambia il tipo in numerico e usa un altro tipo di imputazione; 2 - rimpiazza i -1 di zip_code con Unknown, ma poi converte il tipo in numerico</t>
  </si>
  <si>
    <t>Tecniche considerate ottimali</t>
  </si>
  <si>
    <t>Imputare con un valore come "Unknown"</t>
  </si>
  <si>
    <t>Imputare usando una tecnica di machine learning</t>
  </si>
  <si>
    <t>Imputare usando la mediana</t>
  </si>
  <si>
    <t>Se presente lo zip_code, inferire lo stato, altrimenti inserire "Unknown"</t>
  </si>
  <si>
    <t>Se presente lo stato, calcolare la moda degli zip_code per quello stato,  altrimenti inserire "Unknown"</t>
  </si>
  <si>
    <t>Nota</t>
  </si>
  <si>
    <t>Poiché ci sono molti valori che non sono stati convertiti nella corretta unità di misura, il lower bound dell'algoritmo usato è troppo basso per riconoscere gli outlier "piccoli"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</si>
</sst>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opLeftCell="A8" zoomScale="59" workbookViewId="0">
      <selection activeCell="D67" sqref="D67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1</v>
      </c>
    </row>
    <row r="5" spans="1:4" x14ac:dyDescent="0.4">
      <c r="A5" t="s">
        <v>1</v>
      </c>
      <c r="B5" t="s">
        <v>9</v>
      </c>
      <c r="C5" s="3" t="s">
        <v>10</v>
      </c>
      <c r="D5" s="3">
        <v>0</v>
      </c>
    </row>
    <row r="6" spans="1:4" x14ac:dyDescent="0.4">
      <c r="A6" t="s">
        <v>2</v>
      </c>
      <c r="B6" t="s">
        <v>9</v>
      </c>
      <c r="C6" s="3" t="s">
        <v>10</v>
      </c>
      <c r="D6" s="3">
        <v>0</v>
      </c>
    </row>
    <row r="7" spans="1:4" x14ac:dyDescent="0.4">
      <c r="A7" t="s">
        <v>3</v>
      </c>
      <c r="B7" t="s">
        <v>9</v>
      </c>
      <c r="C7" s="3" t="s">
        <v>10</v>
      </c>
      <c r="D7" s="3">
        <v>1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0.6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0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0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1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1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1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1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0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1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1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1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1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1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1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1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1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1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1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1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1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1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0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0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1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0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1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1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0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1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0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0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0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1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1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1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1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1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1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0.75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227</v>
      </c>
      <c r="C77" s="3" t="s">
        <v>182</v>
      </c>
      <c r="D77" s="3">
        <v>0</v>
      </c>
    </row>
    <row r="78" spans="1:4" x14ac:dyDescent="0.4">
      <c r="B78" t="s">
        <v>228</v>
      </c>
      <c r="C78" s="3" t="s">
        <v>10</v>
      </c>
      <c r="D78" s="3">
        <v>1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1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0.71250000000000002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74"/>
  <sheetViews>
    <sheetView tabSelected="1" topLeftCell="A35" zoomScale="66" workbookViewId="0">
      <selection activeCell="D118" sqref="D118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2" x14ac:dyDescent="0.4">
      <c r="A1" s="4" t="s">
        <v>18</v>
      </c>
      <c r="C1" s="2"/>
    </row>
    <row r="2" spans="1:12" x14ac:dyDescent="0.4">
      <c r="D2" s="3"/>
    </row>
    <row r="3" spans="1:12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  <c r="L3" s="3" t="s">
        <v>242</v>
      </c>
    </row>
    <row r="4" spans="1:12" x14ac:dyDescent="0.4">
      <c r="A4" t="s">
        <v>0</v>
      </c>
      <c r="B4" t="s">
        <v>159</v>
      </c>
      <c r="C4" s="3" t="str">
        <f>IF(Completeness!D4=1,"Sì","No")</f>
        <v>Sì</v>
      </c>
      <c r="D4" s="3">
        <v>8</v>
      </c>
      <c r="E4" s="3">
        <v>2</v>
      </c>
      <c r="F4" s="3">
        <v>8</v>
      </c>
      <c r="G4">
        <f>IF(D4+E4=0, 0, D4/(D4+E4))</f>
        <v>0.8</v>
      </c>
      <c r="H4">
        <f>IF(D4+F4=0, 0, D4/(D4+F4))</f>
        <v>0.5</v>
      </c>
      <c r="I4" s="3">
        <f>IF(G4+H4=0, 0,(2*G4*H4)/(G4+H4))</f>
        <v>0.61538461538461542</v>
      </c>
      <c r="J4" s="2" t="s">
        <v>178</v>
      </c>
    </row>
    <row r="5" spans="1:12" x14ac:dyDescent="0.4">
      <c r="A5" t="s">
        <v>1</v>
      </c>
      <c r="B5" t="s">
        <v>160</v>
      </c>
      <c r="C5" s="3" t="str">
        <f>IF(Completeness!D5=1,"Sì","No")</f>
        <v>No</v>
      </c>
      <c r="D5" s="3">
        <v>0</v>
      </c>
      <c r="E5" s="3">
        <v>0</v>
      </c>
      <c r="F5" s="3">
        <v>0</v>
      </c>
      <c r="G5">
        <f t="shared" ref="G5:G8" si="0">IF(D5+E5=0, 0, D5/(D5+E5))</f>
        <v>0</v>
      </c>
      <c r="H5">
        <f t="shared" ref="H5:H8" si="1">IF(D5+F5=0, 0, D5/(D5+F5))</f>
        <v>0</v>
      </c>
      <c r="I5" s="3">
        <f t="shared" ref="I5:I8" si="2">IF(G5+H5=0, 0,(2*G5*H5)/(G5+H5))</f>
        <v>0</v>
      </c>
      <c r="J5" s="2" t="s">
        <v>179</v>
      </c>
    </row>
    <row r="6" spans="1:12" x14ac:dyDescent="0.4">
      <c r="A6" t="s">
        <v>2</v>
      </c>
      <c r="B6" t="s">
        <v>161</v>
      </c>
      <c r="C6" s="3" t="str">
        <f>IF(Completeness!D6=1,"Sì","No")</f>
        <v>No</v>
      </c>
      <c r="D6" s="3">
        <v>0</v>
      </c>
      <c r="E6" s="3">
        <v>0</v>
      </c>
      <c r="F6" s="3">
        <v>0</v>
      </c>
      <c r="G6">
        <f t="shared" si="0"/>
        <v>0</v>
      </c>
      <c r="H6">
        <f t="shared" si="1"/>
        <v>0</v>
      </c>
      <c r="I6" s="3">
        <f t="shared" si="2"/>
        <v>0</v>
      </c>
      <c r="J6" s="2" t="s">
        <v>15</v>
      </c>
    </row>
    <row r="7" spans="1:12" x14ac:dyDescent="0.4">
      <c r="A7" t="s">
        <v>3</v>
      </c>
      <c r="B7" t="s">
        <v>162</v>
      </c>
      <c r="C7" s="3" t="str">
        <f>IF(Completeness!D7=1,"Sì","No")</f>
        <v>Sì</v>
      </c>
      <c r="D7" s="3">
        <v>11</v>
      </c>
      <c r="E7" s="3">
        <v>0</v>
      </c>
      <c r="F7" s="3">
        <v>0</v>
      </c>
      <c r="G7">
        <f t="shared" si="0"/>
        <v>1</v>
      </c>
      <c r="H7">
        <f t="shared" si="1"/>
        <v>1</v>
      </c>
      <c r="I7" s="3">
        <f t="shared" si="2"/>
        <v>1</v>
      </c>
      <c r="J7" s="2" t="s">
        <v>16</v>
      </c>
    </row>
    <row r="8" spans="1:12" x14ac:dyDescent="0.4">
      <c r="A8" t="s">
        <v>4</v>
      </c>
      <c r="B8" t="s">
        <v>163</v>
      </c>
      <c r="C8" s="3" t="str">
        <f>IF(Completeness!D8=1,"Sì","No")</f>
        <v>Sì</v>
      </c>
      <c r="D8" s="3">
        <v>7</v>
      </c>
      <c r="E8" s="3">
        <v>0</v>
      </c>
      <c r="F8" s="3">
        <v>23</v>
      </c>
      <c r="G8">
        <f t="shared" si="0"/>
        <v>1</v>
      </c>
      <c r="H8">
        <f t="shared" si="1"/>
        <v>0.23333333333333334</v>
      </c>
      <c r="I8" s="3">
        <f t="shared" si="2"/>
        <v>0.37837837837837834</v>
      </c>
      <c r="J8" s="2" t="s">
        <v>17</v>
      </c>
      <c r="L8" t="s">
        <v>243</v>
      </c>
    </row>
    <row r="9" spans="1:12" x14ac:dyDescent="0.4">
      <c r="C9" s="3"/>
      <c r="D9" s="3"/>
      <c r="E9" s="3"/>
      <c r="F9" s="3"/>
      <c r="G9" s="4">
        <f>IFERROR(SUM(G4:G8)/COUNTIF(C4:C8, "Sì"), 0)</f>
        <v>0.93333333333333324</v>
      </c>
      <c r="H9" s="4">
        <f>IFERROR(SUM(H4:H8)/COUNTIF(C4:C8, "Sì"), 0)</f>
        <v>0.57777777777777783</v>
      </c>
      <c r="I9" s="13">
        <f>IFERROR(SUM(I4:I8)/COUNTIF(C4:C8, "Sì"), 0)</f>
        <v>0.66458766458766461</v>
      </c>
    </row>
    <row r="10" spans="1:12" x14ac:dyDescent="0.4">
      <c r="B10" s="3"/>
      <c r="C10" s="3"/>
      <c r="D10" s="3"/>
    </row>
    <row r="11" spans="1:12" x14ac:dyDescent="0.4">
      <c r="B11" s="3"/>
      <c r="C11" s="3"/>
      <c r="D11" s="3"/>
    </row>
    <row r="12" spans="1:12" x14ac:dyDescent="0.4">
      <c r="A12" s="4" t="s">
        <v>19</v>
      </c>
      <c r="B12" s="3"/>
      <c r="C12" s="3"/>
      <c r="D12" s="3"/>
    </row>
    <row r="13" spans="1:12" x14ac:dyDescent="0.4">
      <c r="A13" t="s">
        <v>0</v>
      </c>
      <c r="B13" s="2" t="s">
        <v>230</v>
      </c>
      <c r="C13" s="3"/>
      <c r="D13" s="3"/>
    </row>
    <row r="14" spans="1:12" x14ac:dyDescent="0.4">
      <c r="A14" t="s">
        <v>1</v>
      </c>
      <c r="B14" s="2" t="s">
        <v>231</v>
      </c>
      <c r="C14" s="3"/>
      <c r="D14" s="3"/>
    </row>
    <row r="15" spans="1:12" x14ac:dyDescent="0.4">
      <c r="A15" t="s">
        <v>2</v>
      </c>
      <c r="B15" s="2" t="s">
        <v>232</v>
      </c>
      <c r="C15" s="3"/>
      <c r="D15" s="3"/>
    </row>
    <row r="16" spans="1:12" x14ac:dyDescent="0.4">
      <c r="A16" t="s">
        <v>3</v>
      </c>
      <c r="B16" s="2" t="s">
        <v>233</v>
      </c>
      <c r="C16" s="3"/>
      <c r="D16" s="3"/>
    </row>
    <row r="17" spans="1:12" x14ac:dyDescent="0.4">
      <c r="A17" t="s">
        <v>4</v>
      </c>
      <c r="B17" s="2" t="s">
        <v>234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0.66458766458766461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No</v>
      </c>
      <c r="D26" s="8">
        <v>0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No</v>
      </c>
      <c r="D27" s="8">
        <v>0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No</v>
      </c>
      <c r="D36" s="8">
        <v>0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No</v>
      </c>
      <c r="D37" s="8">
        <v>0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0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0.95000000000000007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t="s">
        <v>236</v>
      </c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Sì</v>
      </c>
      <c r="D50" s="8">
        <v>1</v>
      </c>
      <c r="E50" s="6" t="s">
        <v>92</v>
      </c>
      <c r="F50" t="s">
        <v>237</v>
      </c>
      <c r="G50" s="6"/>
      <c r="I50" s="6" t="s">
        <v>80</v>
      </c>
      <c r="P50" s="7" t="str">
        <f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Sì</v>
      </c>
      <c r="D51" s="8">
        <v>0</v>
      </c>
      <c r="E51" s="6" t="s">
        <v>92</v>
      </c>
      <c r="F51" t="s">
        <v>237</v>
      </c>
      <c r="G51" s="6"/>
      <c r="I51" s="6" t="s">
        <v>82</v>
      </c>
      <c r="P51" s="7" t="str">
        <f t="shared" ref="P51:P115" si="4">IF(MOD(ROW(), 2)=0, "Pari", "Dispari")</f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Sì</v>
      </c>
      <c r="D52" s="8">
        <v>1</v>
      </c>
      <c r="E52" s="6" t="s">
        <v>93</v>
      </c>
      <c r="F52" t="s">
        <v>237</v>
      </c>
      <c r="G52" s="6"/>
      <c r="I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Sì</v>
      </c>
      <c r="D53" s="8">
        <v>0</v>
      </c>
      <c r="E53" s="6" t="s">
        <v>93</v>
      </c>
      <c r="F53" t="s">
        <v>237</v>
      </c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Sì</v>
      </c>
      <c r="D54" s="8">
        <v>1</v>
      </c>
      <c r="E54" s="6" t="s">
        <v>94</v>
      </c>
      <c r="F54" t="s">
        <v>237</v>
      </c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Sì</v>
      </c>
      <c r="D55" s="8">
        <v>0</v>
      </c>
      <c r="E55" s="6" t="s">
        <v>94</v>
      </c>
      <c r="F55" t="s">
        <v>237</v>
      </c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Sì</v>
      </c>
      <c r="D56" s="8">
        <v>1</v>
      </c>
      <c r="E56" s="6" t="s">
        <v>95</v>
      </c>
      <c r="F56" t="s">
        <v>237</v>
      </c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Sì</v>
      </c>
      <c r="D57" s="8">
        <v>0</v>
      </c>
      <c r="E57" s="6" t="s">
        <v>95</v>
      </c>
      <c r="F57" t="s">
        <v>237</v>
      </c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No</v>
      </c>
      <c r="D58" s="8">
        <v>0</v>
      </c>
      <c r="E58" s="6" t="s">
        <v>96</v>
      </c>
      <c r="F58" t="s">
        <v>237</v>
      </c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No</v>
      </c>
      <c r="D59" s="8">
        <v>0</v>
      </c>
      <c r="E59" s="6" t="s">
        <v>96</v>
      </c>
      <c r="F59" t="s">
        <v>237</v>
      </c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Sì</v>
      </c>
      <c r="D60" s="8">
        <v>1</v>
      </c>
      <c r="E60" s="6" t="s">
        <v>97</v>
      </c>
      <c r="F60" t="s">
        <v>237</v>
      </c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Sì</v>
      </c>
      <c r="D61" s="8">
        <v>0</v>
      </c>
      <c r="E61" s="6" t="s">
        <v>97</v>
      </c>
      <c r="F61" t="s">
        <v>237</v>
      </c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Sì</v>
      </c>
      <c r="D62" s="8">
        <v>1</v>
      </c>
      <c r="E62" s="6" t="s">
        <v>98</v>
      </c>
      <c r="F62" t="s">
        <v>238</v>
      </c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Sì</v>
      </c>
      <c r="D63" s="8">
        <v>0</v>
      </c>
      <c r="E63" s="6" t="s">
        <v>98</v>
      </c>
      <c r="F63" t="s">
        <v>238</v>
      </c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Sì</v>
      </c>
      <c r="D64" s="8">
        <v>1</v>
      </c>
      <c r="E64" s="6" t="s">
        <v>99</v>
      </c>
      <c r="F64" t="s">
        <v>238</v>
      </c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Sì</v>
      </c>
      <c r="D65" s="8">
        <v>0</v>
      </c>
      <c r="E65" s="6" t="s">
        <v>99</v>
      </c>
      <c r="F65" t="s">
        <v>238</v>
      </c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Sì</v>
      </c>
      <c r="D66" s="8">
        <v>1</v>
      </c>
      <c r="E66" s="6" t="s">
        <v>100</v>
      </c>
      <c r="F66" t="s">
        <v>238</v>
      </c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Sì</v>
      </c>
      <c r="D67" s="8">
        <v>0</v>
      </c>
      <c r="E67" s="6" t="s">
        <v>100</v>
      </c>
      <c r="F67" t="s">
        <v>238</v>
      </c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Sì</v>
      </c>
      <c r="D68" s="8">
        <v>1</v>
      </c>
      <c r="E68" s="6" t="s">
        <v>101</v>
      </c>
      <c r="F68" t="s">
        <v>239</v>
      </c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Sì</v>
      </c>
      <c r="D69" s="8">
        <v>1</v>
      </c>
      <c r="E69" s="6" t="s">
        <v>101</v>
      </c>
      <c r="F69" t="s">
        <v>239</v>
      </c>
      <c r="G69" s="6"/>
      <c r="H69" s="6"/>
      <c r="P69" s="7" t="str">
        <f>IF(MOD(ROW(), 2)=0, "Pari", "Dispari")</f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Sì</v>
      </c>
      <c r="D70" s="8">
        <v>1</v>
      </c>
      <c r="E70" s="6" t="s">
        <v>102</v>
      </c>
      <c r="F70" t="s">
        <v>239</v>
      </c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Sì</v>
      </c>
      <c r="D71" s="8">
        <v>1</v>
      </c>
      <c r="E71" s="6" t="s">
        <v>102</v>
      </c>
      <c r="F71" t="s">
        <v>239</v>
      </c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Sì</v>
      </c>
      <c r="D72" s="8">
        <v>1</v>
      </c>
      <c r="E72" s="6" t="s">
        <v>103</v>
      </c>
      <c r="F72" t="s">
        <v>239</v>
      </c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Sì</v>
      </c>
      <c r="D73" s="8">
        <v>1</v>
      </c>
      <c r="E73" s="6" t="s">
        <v>103</v>
      </c>
      <c r="F73" t="s">
        <v>239</v>
      </c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Sì</v>
      </c>
      <c r="D74" s="8">
        <v>1</v>
      </c>
      <c r="E74" s="6" t="s">
        <v>104</v>
      </c>
      <c r="F74" t="s">
        <v>239</v>
      </c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Sì</v>
      </c>
      <c r="D75" s="8">
        <v>1</v>
      </c>
      <c r="E75" s="6" t="s">
        <v>104</v>
      </c>
      <c r="F75" t="s">
        <v>239</v>
      </c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Sì</v>
      </c>
      <c r="D76" s="8">
        <v>1</v>
      </c>
      <c r="E76" s="6" t="s">
        <v>105</v>
      </c>
      <c r="F76" t="s">
        <v>239</v>
      </c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Sì</v>
      </c>
      <c r="D77" s="8">
        <v>1</v>
      </c>
      <c r="E77" s="6" t="s">
        <v>105</v>
      </c>
      <c r="F77" t="s">
        <v>239</v>
      </c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Sì</v>
      </c>
      <c r="D78" s="8">
        <v>1</v>
      </c>
      <c r="E78" s="6" t="s">
        <v>106</v>
      </c>
      <c r="F78" t="s">
        <v>239</v>
      </c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Sì</v>
      </c>
      <c r="D79" s="8">
        <v>1</v>
      </c>
      <c r="E79" s="6" t="s">
        <v>106</v>
      </c>
      <c r="F79" t="s">
        <v>239</v>
      </c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Sì</v>
      </c>
      <c r="D80" s="8">
        <v>1</v>
      </c>
      <c r="E80" s="6" t="s">
        <v>107</v>
      </c>
      <c r="F80" t="s">
        <v>238</v>
      </c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Sì</v>
      </c>
      <c r="D81" s="8">
        <v>0</v>
      </c>
      <c r="E81" s="6" t="s">
        <v>107</v>
      </c>
      <c r="F81" t="s">
        <v>238</v>
      </c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Sì</v>
      </c>
      <c r="D82" s="8">
        <v>1</v>
      </c>
      <c r="E82" s="6" t="s">
        <v>108</v>
      </c>
      <c r="F82" t="s">
        <v>238</v>
      </c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Sì</v>
      </c>
      <c r="D83" s="8">
        <v>0</v>
      </c>
      <c r="E83" s="6" t="s">
        <v>108</v>
      </c>
      <c r="F83" t="s">
        <v>238</v>
      </c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Sì</v>
      </c>
      <c r="D84" s="8">
        <v>1</v>
      </c>
      <c r="E84" s="6" t="s">
        <v>109</v>
      </c>
      <c r="F84" t="s">
        <v>238</v>
      </c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Sì</v>
      </c>
      <c r="D85" s="8">
        <v>0</v>
      </c>
      <c r="E85" s="6" t="s">
        <v>109</v>
      </c>
      <c r="F85" t="s">
        <v>238</v>
      </c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t="s">
        <v>237</v>
      </c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t="s">
        <v>237</v>
      </c>
      <c r="G87" s="6"/>
      <c r="H87" s="6"/>
      <c r="P87" s="7" t="str">
        <f>IF(MOD(ROW(), 2)=0, "Pari", "Dispari")</f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No</v>
      </c>
      <c r="D88" s="8">
        <v>0</v>
      </c>
      <c r="E88" s="6" t="s">
        <v>111</v>
      </c>
      <c r="F88" t="s">
        <v>237</v>
      </c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No</v>
      </c>
      <c r="D89" s="8">
        <v>0</v>
      </c>
      <c r="E89" s="6" t="s">
        <v>111</v>
      </c>
      <c r="F89" t="s">
        <v>237</v>
      </c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No</v>
      </c>
      <c r="D90" s="8">
        <v>0</v>
      </c>
      <c r="E90" s="6" t="s">
        <v>112</v>
      </c>
      <c r="F90" t="s">
        <v>237</v>
      </c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No</v>
      </c>
      <c r="D91" s="8">
        <v>0</v>
      </c>
      <c r="E91" s="6" t="s">
        <v>112</v>
      </c>
      <c r="F91" t="s">
        <v>237</v>
      </c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Sì</v>
      </c>
      <c r="D92" s="8">
        <v>1</v>
      </c>
      <c r="E92" s="6" t="s">
        <v>113</v>
      </c>
      <c r="F92" t="s">
        <v>237</v>
      </c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Sì</v>
      </c>
      <c r="D93" s="8">
        <v>0</v>
      </c>
      <c r="E93" s="6" t="s">
        <v>113</v>
      </c>
      <c r="F93" t="s">
        <v>237</v>
      </c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No</v>
      </c>
      <c r="D94" s="8">
        <v>0</v>
      </c>
      <c r="E94" s="6" t="s">
        <v>114</v>
      </c>
      <c r="F94" t="s">
        <v>237</v>
      </c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No</v>
      </c>
      <c r="D95" s="8">
        <v>0</v>
      </c>
      <c r="E95" s="6" t="s">
        <v>114</v>
      </c>
      <c r="F95" t="s">
        <v>237</v>
      </c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Sì</v>
      </c>
      <c r="D96" s="8">
        <v>1</v>
      </c>
      <c r="E96" s="6" t="s">
        <v>115</v>
      </c>
      <c r="F96" t="s">
        <v>237</v>
      </c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Sì</v>
      </c>
      <c r="D97" s="8">
        <v>0</v>
      </c>
      <c r="E97" s="6" t="s">
        <v>115</v>
      </c>
      <c r="F97" t="s">
        <v>237</v>
      </c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Sì</v>
      </c>
      <c r="D98" s="8">
        <v>1</v>
      </c>
      <c r="E98" s="6" t="s">
        <v>116</v>
      </c>
      <c r="F98" t="s">
        <v>240</v>
      </c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Sì</v>
      </c>
      <c r="D99" s="8">
        <v>0</v>
      </c>
      <c r="E99" s="6" t="s">
        <v>116</v>
      </c>
      <c r="F99" t="s">
        <v>240</v>
      </c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No</v>
      </c>
      <c r="D100" s="8">
        <v>0</v>
      </c>
      <c r="E100" s="6" t="s">
        <v>117</v>
      </c>
      <c r="F100" t="s">
        <v>240</v>
      </c>
      <c r="G100" s="6"/>
      <c r="H100" s="6"/>
      <c r="P100" s="7" t="str">
        <f>IF(MOD(ROW(), 2)=0, "Pari", "Dispari")</f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No</v>
      </c>
      <c r="D101" s="8">
        <v>0</v>
      </c>
      <c r="E101" s="6" t="s">
        <v>117</v>
      </c>
      <c r="F101" t="s">
        <v>240</v>
      </c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Sì</v>
      </c>
      <c r="D102" s="8">
        <v>1</v>
      </c>
      <c r="E102" s="6" t="s">
        <v>118</v>
      </c>
      <c r="F102" t="s">
        <v>240</v>
      </c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Sì</v>
      </c>
      <c r="D103" s="8">
        <v>0</v>
      </c>
      <c r="E103" s="6" t="s">
        <v>118</v>
      </c>
      <c r="F103" t="s">
        <v>240</v>
      </c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No</v>
      </c>
      <c r="D104" s="8">
        <v>0</v>
      </c>
      <c r="E104" s="6" t="s">
        <v>119</v>
      </c>
      <c r="F104" t="s">
        <v>241</v>
      </c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No</v>
      </c>
      <c r="D105" s="8">
        <v>0</v>
      </c>
      <c r="E105" s="6" t="s">
        <v>119</v>
      </c>
      <c r="F105" t="s">
        <v>241</v>
      </c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No</v>
      </c>
      <c r="D106" s="8">
        <v>0</v>
      </c>
      <c r="E106" s="6" t="s">
        <v>120</v>
      </c>
      <c r="F106" t="s">
        <v>241</v>
      </c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No</v>
      </c>
      <c r="D107" s="8">
        <v>0</v>
      </c>
      <c r="E107" s="6" t="s">
        <v>120</v>
      </c>
      <c r="F107" t="s">
        <v>241</v>
      </c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No</v>
      </c>
      <c r="D108" s="8">
        <v>0</v>
      </c>
      <c r="E108" s="6" t="s">
        <v>121</v>
      </c>
      <c r="F108" t="s">
        <v>241</v>
      </c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No</v>
      </c>
      <c r="D109" s="8">
        <v>0</v>
      </c>
      <c r="E109" s="6" t="s">
        <v>121</v>
      </c>
      <c r="F109" t="s">
        <v>241</v>
      </c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Sì</v>
      </c>
      <c r="D110" s="8">
        <v>1</v>
      </c>
      <c r="E110" s="6" t="s">
        <v>122</v>
      </c>
      <c r="F110" t="s">
        <v>238</v>
      </c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Sì</v>
      </c>
      <c r="D111" s="8">
        <v>0</v>
      </c>
      <c r="E111" s="6" t="s">
        <v>122</v>
      </c>
      <c r="F111" t="s">
        <v>238</v>
      </c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Sì</v>
      </c>
      <c r="D112" s="8">
        <v>1</v>
      </c>
      <c r="E112" s="6" t="s">
        <v>123</v>
      </c>
      <c r="F112" t="s">
        <v>238</v>
      </c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Sì</v>
      </c>
      <c r="D113" s="8">
        <v>0</v>
      </c>
      <c r="E113" s="6" t="s">
        <v>123</v>
      </c>
      <c r="F113" t="s">
        <v>238</v>
      </c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Sì</v>
      </c>
      <c r="D114" s="8">
        <v>1</v>
      </c>
      <c r="E114" s="6" t="s">
        <v>124</v>
      </c>
      <c r="F114" t="s">
        <v>238</v>
      </c>
      <c r="G114" s="6"/>
      <c r="H114" s="6"/>
      <c r="P114" s="7" t="str">
        <f>IF(MOD(ROW(), 2)=0, "Pari", "Dispari")</f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Sì</v>
      </c>
      <c r="D115" s="8">
        <v>0</v>
      </c>
      <c r="E115" s="6" t="s">
        <v>124</v>
      </c>
      <c r="F115" t="s">
        <v>238</v>
      </c>
      <c r="G115" s="6"/>
      <c r="H115" s="6"/>
      <c r="P115" s="7" t="str">
        <f t="shared" si="4"/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Sì</v>
      </c>
      <c r="D116" s="8">
        <v>0</v>
      </c>
      <c r="E116" s="6" t="s">
        <v>125</v>
      </c>
      <c r="F116" t="s">
        <v>237</v>
      </c>
      <c r="G116" s="6"/>
      <c r="H116" s="6"/>
      <c r="P116" s="7" t="str">
        <f t="shared" ref="P116:P121" si="5">IF(MOD(ROW(), 2)=0, "Pari", "Dispari")</f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Sì</v>
      </c>
      <c r="D117" s="8">
        <v>0</v>
      </c>
      <c r="E117" s="6" t="s">
        <v>125</v>
      </c>
      <c r="F117" t="s">
        <v>237</v>
      </c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Sì</v>
      </c>
      <c r="D118" s="8">
        <v>0</v>
      </c>
      <c r="E118" s="6" t="s">
        <v>126</v>
      </c>
      <c r="F118" t="s">
        <v>237</v>
      </c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Sì</v>
      </c>
      <c r="D119" s="8">
        <v>0</v>
      </c>
      <c r="E119" s="6" t="s">
        <v>126</v>
      </c>
      <c r="F119" t="s">
        <v>237</v>
      </c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Sì</v>
      </c>
      <c r="D120" s="8">
        <v>0</v>
      </c>
      <c r="E120" s="6" t="s">
        <v>127</v>
      </c>
      <c r="F120" t="s">
        <v>237</v>
      </c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Sì</v>
      </c>
      <c r="D121" s="8">
        <v>0</v>
      </c>
      <c r="E121" s="6" t="s">
        <v>127</v>
      </c>
      <c r="F121" t="s">
        <v>237</v>
      </c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0.75555555555555565</v>
      </c>
      <c r="C124" s="1" t="str">
        <f>IF(COUNTIF(C50:C121, "Sì")&gt;0, "Sì", "No")</f>
        <v>Sì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f>IFERROR(D130/(D130+E130), 0)</f>
        <v>0</v>
      </c>
      <c r="H130" s="6">
        <f>IFERROR(D130/(D130+F130), 0)</f>
        <v>0</v>
      </c>
      <c r="I130">
        <f>IFERROR((2*G130*H130)/(G130+H130), 0)</f>
        <v>0</v>
      </c>
      <c r="J130" s="11" t="s">
        <v>229</v>
      </c>
    </row>
    <row r="131" spans="1:10" x14ac:dyDescent="0.4">
      <c r="B131" s="6" t="s">
        <v>152</v>
      </c>
      <c r="C131" s="8" t="str">
        <f>IF(Completeness!D78=1,"Sì","No")</f>
        <v>Sì</v>
      </c>
      <c r="D131" s="8">
        <v>0</v>
      </c>
      <c r="E131" s="8">
        <v>0</v>
      </c>
      <c r="F131" s="8">
        <v>50</v>
      </c>
      <c r="G131" s="6">
        <f>IFERROR(D131/(D131+E131), 0)</f>
        <v>0</v>
      </c>
      <c r="H131" s="6">
        <f>IFERROR(D131/(D131+F131), 0)</f>
        <v>0</v>
      </c>
      <c r="I131">
        <f>IFERROR((2*G131*H131)/(G131+H131), 0)</f>
        <v>0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0</v>
      </c>
      <c r="H132" s="9">
        <f>IFERROR((H130+H131)/COUNTIF(C130:C131, "Sì"), 0)</f>
        <v>0</v>
      </c>
      <c r="I132" s="15">
        <f>IFERROR((I130+I131)/COUNTIF(C130:C131, "Sì"), 0)</f>
        <v>0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</v>
      </c>
      <c r="C134" s="1" t="str">
        <f>IF(COUNTIF(C130:C131, "Sì")&gt;0, "Sì", "No")</f>
        <v>Sì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IFERROR((B20+B44+B124+B134)/(COUNTIF(C20, "Sì")+COUNTIF(C44, "Sì")+COUNTIF(C124, "Sì")+COUNTIF(C134, "Sì")),  "Non calcolabile")</f>
        <v>0.59253580503580505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  <row r="143" spans="1:10" x14ac:dyDescent="0.4">
      <c r="D143" s="14" t="s">
        <v>195</v>
      </c>
    </row>
    <row r="144" spans="1:10" x14ac:dyDescent="0.4">
      <c r="D144" s="14" t="s">
        <v>196</v>
      </c>
    </row>
    <row r="145" spans="4:4" x14ac:dyDescent="0.4">
      <c r="D145" s="14" t="s">
        <v>197</v>
      </c>
    </row>
    <row r="146" spans="4:4" x14ac:dyDescent="0.4">
      <c r="D146" s="14" t="s">
        <v>198</v>
      </c>
    </row>
    <row r="147" spans="4:4" x14ac:dyDescent="0.4">
      <c r="D147" s="14" t="s">
        <v>199</v>
      </c>
    </row>
    <row r="148" spans="4:4" x14ac:dyDescent="0.4">
      <c r="D148" s="14" t="s">
        <v>200</v>
      </c>
    </row>
    <row r="149" spans="4:4" x14ac:dyDescent="0.4">
      <c r="D149" s="14" t="s">
        <v>201</v>
      </c>
    </row>
    <row r="150" spans="4:4" x14ac:dyDescent="0.4">
      <c r="D150" s="14" t="s">
        <v>202</v>
      </c>
    </row>
    <row r="151" spans="4:4" x14ac:dyDescent="0.4">
      <c r="D151" s="14" t="s">
        <v>203</v>
      </c>
    </row>
    <row r="152" spans="4:4" x14ac:dyDescent="0.4">
      <c r="D152" s="14" t="s">
        <v>204</v>
      </c>
    </row>
    <row r="153" spans="4:4" x14ac:dyDescent="0.4">
      <c r="D153" s="14" t="s">
        <v>205</v>
      </c>
    </row>
    <row r="154" spans="4:4" x14ac:dyDescent="0.4">
      <c r="D154" s="14" t="s">
        <v>206</v>
      </c>
    </row>
    <row r="155" spans="4:4" x14ac:dyDescent="0.4">
      <c r="D155" s="14" t="s">
        <v>207</v>
      </c>
    </row>
    <row r="156" spans="4:4" x14ac:dyDescent="0.4">
      <c r="D156" s="14" t="s">
        <v>208</v>
      </c>
    </row>
    <row r="157" spans="4:4" x14ac:dyDescent="0.4">
      <c r="D157" s="14" t="s">
        <v>209</v>
      </c>
    </row>
    <row r="158" spans="4:4" x14ac:dyDescent="0.4">
      <c r="D158" s="14" t="s">
        <v>210</v>
      </c>
    </row>
    <row r="159" spans="4:4" x14ac:dyDescent="0.4">
      <c r="D159" s="14" t="s">
        <v>211</v>
      </c>
    </row>
    <row r="160" spans="4:4" x14ac:dyDescent="0.4">
      <c r="D160" s="14" t="s">
        <v>212</v>
      </c>
    </row>
    <row r="161" spans="4:4" x14ac:dyDescent="0.4">
      <c r="D161" s="14" t="s">
        <v>213</v>
      </c>
    </row>
    <row r="162" spans="4:4" x14ac:dyDescent="0.4">
      <c r="D162" s="14" t="s">
        <v>214</v>
      </c>
    </row>
    <row r="163" spans="4:4" x14ac:dyDescent="0.4">
      <c r="D163" s="14" t="s">
        <v>215</v>
      </c>
    </row>
    <row r="164" spans="4:4" x14ac:dyDescent="0.4">
      <c r="D164" s="14" t="s">
        <v>216</v>
      </c>
    </row>
    <row r="165" spans="4:4" x14ac:dyDescent="0.4">
      <c r="D165" s="14" t="s">
        <v>217</v>
      </c>
    </row>
    <row r="166" spans="4:4" x14ac:dyDescent="0.4">
      <c r="D166" s="14" t="s">
        <v>218</v>
      </c>
    </row>
    <row r="167" spans="4:4" x14ac:dyDescent="0.4">
      <c r="D167" s="14" t="s">
        <v>219</v>
      </c>
    </row>
    <row r="168" spans="4:4" x14ac:dyDescent="0.4">
      <c r="D168" s="14" t="s">
        <v>220</v>
      </c>
    </row>
    <row r="169" spans="4:4" x14ac:dyDescent="0.4">
      <c r="D169" s="14" t="s">
        <v>221</v>
      </c>
    </row>
    <row r="170" spans="4:4" x14ac:dyDescent="0.4">
      <c r="D170" s="14" t="s">
        <v>222</v>
      </c>
    </row>
    <row r="171" spans="4:4" x14ac:dyDescent="0.4">
      <c r="D171" s="14" t="s">
        <v>223</v>
      </c>
    </row>
    <row r="172" spans="4:4" x14ac:dyDescent="0.4">
      <c r="D172" s="14" t="s">
        <v>224</v>
      </c>
    </row>
    <row r="173" spans="4:4" x14ac:dyDescent="0.4">
      <c r="D173" s="14" t="s">
        <v>225</v>
      </c>
    </row>
    <row r="174" spans="4:4" x14ac:dyDescent="0.4">
      <c r="D174" s="14" t="s">
        <v>226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51" zoomScale="65" workbookViewId="0">
      <selection activeCell="B73" sqref="B73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Sì</v>
      </c>
      <c r="D4" s="3">
        <v>1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No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No</v>
      </c>
      <c r="D6" s="3">
        <v>0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Sì</v>
      </c>
      <c r="D7" s="3">
        <v>1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1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1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No</v>
      </c>
      <c r="D17" s="3">
        <v>0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No</v>
      </c>
      <c r="D22" s="3">
        <v>0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Sì</v>
      </c>
      <c r="D33" s="3">
        <v>1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Sì</v>
      </c>
      <c r="D34" s="3">
        <v>1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Sì</v>
      </c>
      <c r="D35" s="3">
        <v>1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Sì</v>
      </c>
      <c r="D36" s="3">
        <v>1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No</v>
      </c>
      <c r="D37" s="3">
        <v>0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Sì</v>
      </c>
      <c r="D38" s="3">
        <v>1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Sì</v>
      </c>
      <c r="D39" s="3">
        <v>1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Sì</v>
      </c>
      <c r="D40" s="3">
        <v>1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Sì</v>
      </c>
      <c r="D41" s="3">
        <v>1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Sì</v>
      </c>
      <c r="D42" s="3">
        <v>1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Sì</v>
      </c>
      <c r="D43" s="3">
        <v>1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Sì</v>
      </c>
      <c r="D44" s="3">
        <v>1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Sì</v>
      </c>
      <c r="D45" s="3">
        <v>1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Sì</v>
      </c>
      <c r="D46" s="3">
        <v>1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Sì</v>
      </c>
      <c r="D47" s="3">
        <v>1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Sì</v>
      </c>
      <c r="D48" s="3">
        <v>1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Sì</v>
      </c>
      <c r="D49" s="3">
        <v>1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Sì</v>
      </c>
      <c r="D50" s="3">
        <v>1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No</v>
      </c>
      <c r="D52" s="3">
        <v>0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No</v>
      </c>
      <c r="D53" s="3">
        <v>0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Sì</v>
      </c>
      <c r="D54" s="3">
        <v>1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No</v>
      </c>
      <c r="D55" s="3">
        <v>0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Sì</v>
      </c>
      <c r="D56" s="3">
        <v>1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Sì</v>
      </c>
      <c r="D57" s="3">
        <v>1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No</v>
      </c>
      <c r="D58" s="3">
        <v>0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Sì</v>
      </c>
      <c r="D59" s="3">
        <v>1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No</v>
      </c>
      <c r="D60" s="3">
        <v>0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No</v>
      </c>
      <c r="D61" s="3">
        <v>0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No</v>
      </c>
      <c r="D62" s="3">
        <v>0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Sì</v>
      </c>
      <c r="D63" s="3">
        <v>1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Sì</v>
      </c>
      <c r="D64" s="3">
        <v>1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Sì</v>
      </c>
      <c r="D65" s="3">
        <v>1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Sì</v>
      </c>
      <c r="D66" s="3">
        <v>1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Sì</v>
      </c>
      <c r="D67" s="3">
        <v>1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Sì</v>
      </c>
      <c r="D68" s="3">
        <v>1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1</v>
      </c>
      <c r="C71" s="1" t="str">
        <f>IF(COUNTIF(C33:C68, "Sì")&gt;0, "Sì", "No")</f>
        <v>Sì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229</v>
      </c>
    </row>
    <row r="78" spans="1:5" x14ac:dyDescent="0.4">
      <c r="B78" s="6" t="s">
        <v>165</v>
      </c>
      <c r="C78" s="8" t="str">
        <f>IF(Completeness!D78=1,"Sì","No")</f>
        <v>Sì</v>
      </c>
      <c r="D78" s="8">
        <v>1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1</v>
      </c>
      <c r="C81" s="1" t="str">
        <f>IF(COUNTIF(C77:C78, "Sì")&gt;0, "Sì", "No")</f>
        <v>Sì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IFERROR((B11+B27+B71+B81)/(COUNTIF(C11, "Sì")+COUNTIF(C27, "Sì")+COUNTIF(C71, "Sì")+COUNTIF(C81, "Sì")),  "Non calcolabile")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106" zoomScale="62" workbookViewId="0">
      <selection activeCell="D115" sqref="D115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Sì</v>
      </c>
      <c r="D4" s="3">
        <v>1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Sì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No</v>
      </c>
      <c r="D6" s="3">
        <v>0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No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No</v>
      </c>
      <c r="D8" s="3">
        <v>0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No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Sì</v>
      </c>
      <c r="D10" s="3">
        <v>1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Sì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1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0.80000000000000016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No</v>
      </c>
      <c r="D22" s="8">
        <v>0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No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No</v>
      </c>
      <c r="D32" s="8">
        <v>0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No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Sì</v>
      </c>
      <c r="D46" s="8">
        <v>1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Sì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Sì</v>
      </c>
      <c r="D48" s="8">
        <v>1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Sì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Sì</v>
      </c>
      <c r="D50" s="8">
        <v>1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Sì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Sì</v>
      </c>
      <c r="D52" s="8">
        <v>1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Sì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No</v>
      </c>
      <c r="D54" s="8">
        <v>0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No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Sì</v>
      </c>
      <c r="D56" s="8">
        <v>1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Sì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Sì</v>
      </c>
      <c r="D58" s="8">
        <v>1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Sì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Sì</v>
      </c>
      <c r="D60" s="8">
        <v>1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Sì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Sì</v>
      </c>
      <c r="D62" s="8">
        <v>1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Sì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Sì</v>
      </c>
      <c r="D64" s="8">
        <v>1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Sì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Sì</v>
      </c>
      <c r="D66" s="8">
        <v>1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Sì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Sì</v>
      </c>
      <c r="D68" s="8">
        <v>1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Sì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Sì</v>
      </c>
      <c r="D70" s="8">
        <v>1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Sì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Sì</v>
      </c>
      <c r="D72" s="8">
        <v>1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Sì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Sì</v>
      </c>
      <c r="D74" s="8">
        <v>1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Sì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Sì</v>
      </c>
      <c r="D76" s="8">
        <v>1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Sì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Sì</v>
      </c>
      <c r="D78" s="8">
        <v>1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Sì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Sì</v>
      </c>
      <c r="D80" s="8">
        <v>1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Sì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No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No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No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No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Sì</v>
      </c>
      <c r="D88" s="8">
        <v>1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Sì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No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No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Sì</v>
      </c>
      <c r="D92" s="8">
        <v>1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Sì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Sì</v>
      </c>
      <c r="D94" s="8">
        <v>1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Sì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No</v>
      </c>
      <c r="D96" s="8">
        <v>0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No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Sì</v>
      </c>
      <c r="D98" s="8">
        <v>1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Sì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No</v>
      </c>
      <c r="D100" s="8">
        <v>0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No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No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No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No</v>
      </c>
      <c r="D104" s="8">
        <v>0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No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Sì</v>
      </c>
      <c r="D106" s="8">
        <v>1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Sì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Sì</v>
      </c>
      <c r="D108" s="8">
        <v>1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Sì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Sì</v>
      </c>
      <c r="D110" s="8">
        <v>1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Sì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Sì</v>
      </c>
      <c r="D112" s="8">
        <v>1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Sì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Sì</v>
      </c>
      <c r="D114" s="8">
        <v>1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Sì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Sì</v>
      </c>
      <c r="D116" s="8">
        <v>1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Sì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0.8</v>
      </c>
      <c r="C120" s="1" t="str">
        <f>IF(COUNTIF(C46:C117, "Sì")&gt;0, "Sì", "No")</f>
        <v>Sì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229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229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Sì</v>
      </c>
      <c r="D128" s="8">
        <v>1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Sì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0.8</v>
      </c>
      <c r="C132" s="1" t="str">
        <f>IF(COUNTIF(C126:C129, "Sì")&gt;0, "Sì", "No")</f>
        <v>Sì</v>
      </c>
      <c r="D132" s="6"/>
    </row>
    <row r="135" spans="1:7" x14ac:dyDescent="0.4">
      <c r="A135" s="4" t="s">
        <v>175</v>
      </c>
      <c r="B135">
        <f>IFERROR((B16+B40+B120+B132)/(COUNTIF(C16, "Sì")+COUNTIF(C40, "Sì")+COUNTIF(C120, "Sì")+COUNTIF(C132, "Sì")),  "Non calcolabile")</f>
        <v>0.8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opLeftCell="A43" workbookViewId="0">
      <selection activeCell="D52" sqref="D52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Sì</v>
      </c>
      <c r="D4" s="3">
        <v>3</v>
      </c>
      <c r="E4" s="3">
        <f>1-((D4-1)/4)</f>
        <v>0.5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No</v>
      </c>
      <c r="D5" s="3">
        <v>5</v>
      </c>
      <c r="E5" s="3">
        <f t="shared" ref="E5:E8" si="0"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No</v>
      </c>
      <c r="D6" s="3">
        <v>5</v>
      </c>
      <c r="E6" s="3">
        <f t="shared" si="0"/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Sì</v>
      </c>
      <c r="D7" s="3">
        <v>3</v>
      </c>
      <c r="E7" s="3">
        <f t="shared" si="0"/>
        <v>0.5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3</v>
      </c>
      <c r="E8" s="3">
        <f t="shared" si="0"/>
        <v>0.5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0.5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Sì</v>
      </c>
      <c r="D17" s="3">
        <v>1</v>
      </c>
      <c r="E17" s="3">
        <f t="shared" ref="E17:E52" si="1">1-((D17-1)/11)</f>
        <v>1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Sì</v>
      </c>
      <c r="D18" s="3">
        <v>1</v>
      </c>
      <c r="E18" s="3">
        <f t="shared" si="1"/>
        <v>1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Sì</v>
      </c>
      <c r="D19" s="3">
        <v>5</v>
      </c>
      <c r="E19" s="3">
        <f t="shared" si="1"/>
        <v>0.63636363636363635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Sì</v>
      </c>
      <c r="D20" s="3">
        <v>4</v>
      </c>
      <c r="E20" s="3">
        <f t="shared" si="1"/>
        <v>0.72727272727272729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No</v>
      </c>
      <c r="D21" s="3">
        <v>12</v>
      </c>
      <c r="E21" s="3">
        <f t="shared" si="1"/>
        <v>0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Sì</v>
      </c>
      <c r="D22" s="3">
        <v>5</v>
      </c>
      <c r="E22" s="3">
        <f t="shared" si="1"/>
        <v>0.63636363636363635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Sì</v>
      </c>
      <c r="D23" s="3">
        <v>5</v>
      </c>
      <c r="E23" s="3">
        <f t="shared" si="1"/>
        <v>0.63636363636363635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Sì</v>
      </c>
      <c r="D24" s="3">
        <v>5</v>
      </c>
      <c r="E24" s="3">
        <f t="shared" si="1"/>
        <v>0.63636363636363635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Sì</v>
      </c>
      <c r="D25" s="3">
        <v>5</v>
      </c>
      <c r="E25" s="3">
        <f t="shared" si="1"/>
        <v>0.63636363636363635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Sì</v>
      </c>
      <c r="D26" s="3">
        <v>5</v>
      </c>
      <c r="E26" s="3">
        <f t="shared" si="1"/>
        <v>0.63636363636363635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Sì</v>
      </c>
      <c r="D27" s="3">
        <v>5</v>
      </c>
      <c r="E27" s="3">
        <f t="shared" si="1"/>
        <v>0.63636363636363635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Sì</v>
      </c>
      <c r="D28" s="3">
        <v>5</v>
      </c>
      <c r="E28" s="3">
        <f t="shared" si="1"/>
        <v>0.63636363636363635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Sì</v>
      </c>
      <c r="D29" s="3">
        <v>5</v>
      </c>
      <c r="E29" s="3">
        <f t="shared" si="1"/>
        <v>0.63636363636363635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Sì</v>
      </c>
      <c r="D30" s="3">
        <v>5</v>
      </c>
      <c r="E30" s="3">
        <f t="shared" si="1"/>
        <v>0.63636363636363635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Sì</v>
      </c>
      <c r="D31" s="3">
        <v>5</v>
      </c>
      <c r="E31" s="3">
        <f t="shared" si="1"/>
        <v>0.63636363636363635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Sì</v>
      </c>
      <c r="D32" s="3">
        <v>5</v>
      </c>
      <c r="E32" s="3">
        <f t="shared" si="1"/>
        <v>0.63636363636363635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Sì</v>
      </c>
      <c r="D33" s="3">
        <v>5</v>
      </c>
      <c r="E33" s="3">
        <f t="shared" si="1"/>
        <v>0.63636363636363635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Sì</v>
      </c>
      <c r="D34" s="3">
        <v>5</v>
      </c>
      <c r="E34" s="3">
        <f t="shared" si="1"/>
        <v>0.63636363636363635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1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No</v>
      </c>
      <c r="D36" s="3">
        <v>12</v>
      </c>
      <c r="E36" s="3">
        <f t="shared" si="1"/>
        <v>0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No</v>
      </c>
      <c r="D37" s="3">
        <v>12</v>
      </c>
      <c r="E37" s="3">
        <f t="shared" si="1"/>
        <v>0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Sì</v>
      </c>
      <c r="D38" s="3">
        <v>4</v>
      </c>
      <c r="E38" s="3">
        <f t="shared" si="1"/>
        <v>0.72727272727272729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No</v>
      </c>
      <c r="D39" s="3">
        <v>12</v>
      </c>
      <c r="E39" s="3">
        <f t="shared" si="1"/>
        <v>0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Sì</v>
      </c>
      <c r="D40" s="3">
        <v>5</v>
      </c>
      <c r="E40" s="3">
        <f t="shared" si="1"/>
        <v>0.63636363636363635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Sì</v>
      </c>
      <c r="D41" s="3">
        <v>4</v>
      </c>
      <c r="E41" s="3">
        <f t="shared" si="1"/>
        <v>0.72727272727272729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No</v>
      </c>
      <c r="D42" s="3">
        <v>12</v>
      </c>
      <c r="E42" s="3">
        <f t="shared" si="1"/>
        <v>0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Sì</v>
      </c>
      <c r="D43" s="3">
        <v>5</v>
      </c>
      <c r="E43" s="3">
        <f t="shared" si="1"/>
        <v>0.63636363636363635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No</v>
      </c>
      <c r="D44" s="3">
        <v>12</v>
      </c>
      <c r="E44" s="3">
        <f t="shared" si="1"/>
        <v>0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No</v>
      </c>
      <c r="D45" s="3">
        <v>12</v>
      </c>
      <c r="E45" s="3">
        <f t="shared" si="1"/>
        <v>0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No</v>
      </c>
      <c r="D46" s="3">
        <v>12</v>
      </c>
      <c r="E46" s="3">
        <f t="shared" si="1"/>
        <v>0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Sì</v>
      </c>
      <c r="D47" s="3">
        <v>5</v>
      </c>
      <c r="E47" s="3">
        <f t="shared" si="1"/>
        <v>0.63636363636363635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Sì</v>
      </c>
      <c r="D48" s="3">
        <v>5</v>
      </c>
      <c r="E48" s="3">
        <f t="shared" si="1"/>
        <v>0.63636363636363635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Sì</v>
      </c>
      <c r="D49" s="3">
        <v>5</v>
      </c>
      <c r="E49" s="3">
        <f t="shared" si="1"/>
        <v>0.63636363636363635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Sì</v>
      </c>
      <c r="D50" s="3">
        <v>4</v>
      </c>
      <c r="E50" s="3">
        <f t="shared" si="1"/>
        <v>0.72727272727272729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Sì</v>
      </c>
      <c r="D51" s="3">
        <v>1</v>
      </c>
      <c r="E51" s="3">
        <f t="shared" si="1"/>
        <v>1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Sì</v>
      </c>
      <c r="D52" s="3">
        <v>5</v>
      </c>
      <c r="E52" s="3">
        <f t="shared" si="1"/>
        <v>0.63636363636363635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0.6902356902356902</v>
      </c>
      <c r="C55" s="1" t="str">
        <f>IF(COUNTIF(C17:C52, "Sì")&gt;0, "Sì", "No")</f>
        <v>Sì</v>
      </c>
      <c r="D55"/>
    </row>
    <row r="58" spans="1:6" x14ac:dyDescent="0.4">
      <c r="A58" s="4" t="s">
        <v>176</v>
      </c>
      <c r="B58">
        <f>IFERROR((B11+B55)/(COUNTIF(C11, "Sì")+COUNTIF(C55, "Sì")),  "Non calcolabile")</f>
        <v>0.59511784511784516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102" zoomScaleNormal="140" workbookViewId="0">
      <selection activeCell="B6" sqref="B6"/>
    </sheetView>
  </sheetViews>
  <sheetFormatPr defaultColWidth="10.6640625" defaultRowHeight="16" x14ac:dyDescent="0.4"/>
  <cols>
    <col min="1" max="1" width="44.6640625" customWidth="1"/>
    <col min="2" max="2" width="4.8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10</v>
      </c>
      <c r="C2" s="2" t="s">
        <v>235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2025-10-09T15:51:13Z</dcterms:modified>
</cp:coreProperties>
</file>