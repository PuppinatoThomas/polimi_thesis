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6981FFD9-961D-4A0F-B476-7ABEE4662F64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G4" i="6" l="1"/>
  <c r="L37" i="2" l="1"/>
  <c r="L35" i="2"/>
  <c r="B81" i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6" i="2"/>
  <c r="L38" i="2"/>
  <c r="L39" i="2"/>
  <c r="L40" i="2"/>
  <c r="L41" i="2"/>
  <c r="L26" i="2"/>
  <c r="C134" i="2"/>
  <c r="C8" i="2"/>
  <c r="C20" i="2" s="1"/>
  <c r="C7" i="2"/>
  <c r="C6" i="2"/>
  <c r="C5" i="2"/>
  <c r="C4" i="2"/>
  <c r="C131" i="2"/>
  <c r="C130" i="2"/>
  <c r="H131" i="2"/>
  <c r="G131" i="2"/>
  <c r="H130" i="2"/>
  <c r="I130" i="2"/>
  <c r="H8" i="2"/>
  <c r="G8" i="2"/>
  <c r="H7" i="2"/>
  <c r="G7" i="2"/>
  <c r="I7" i="2" s="1"/>
  <c r="H6" i="2"/>
  <c r="G6" i="2"/>
  <c r="I6" i="2" s="1"/>
  <c r="I5" i="2"/>
  <c r="H5" i="2"/>
  <c r="G5" i="2"/>
  <c r="H4" i="2"/>
  <c r="G4" i="2"/>
  <c r="I4" i="2" s="1"/>
  <c r="C129" i="6"/>
  <c r="C128" i="6"/>
  <c r="C127" i="6"/>
  <c r="C126" i="6"/>
  <c r="C78" i="4"/>
  <c r="E5" i="5"/>
  <c r="E6" i="5"/>
  <c r="E7" i="5"/>
  <c r="E8" i="5"/>
  <c r="I131" i="2" l="1"/>
  <c r="C132" i="6"/>
  <c r="G9" i="2"/>
  <c r="B132" i="6"/>
  <c r="I132" i="2"/>
  <c r="B134" i="2" s="1"/>
  <c r="H132" i="2"/>
  <c r="I8" i="2"/>
  <c r="I9" i="2" s="1"/>
  <c r="B20" i="2" s="1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 s="1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<sst xmlns="http://schemas.openxmlformats.org/spreadsheetml/2006/main" count="1271" uniqueCount="228">
  <si>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</si>
  <si>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</si>
  <si>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</si>
  <si>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</si>
  <si>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</si>
  <si>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</si>
  <si>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</si>
  <si>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</si>
  <si>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</si>
  <si>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</si>
  <si>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</si>
  <si>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</si>
  <si>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</si>
  <si>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</si>
  <si>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</si>
  <si>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</si>
  <si>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</si>
  <si>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</si>
  <si>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</si>
  <si>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</si>
  <si>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</si>
  <si>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</si>
  <si>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</si>
  <si>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</si>
  <si>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</si>
  <si>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</si>
  <si>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</si>
  <si>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</si>
  <si>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</si>
  <si>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</si>
  <si>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</si>
  <si>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</si>
  <si>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</si>
  <si>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</si>
  <si>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</si>
  <si>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</si>
  <si>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</si>
  <si>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</si>
  <si>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</si>
  <si>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</si>
  <si>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</si>
  <si>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</si>
  <si>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</si>
  <si>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</si>
  <si>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</si>
  <si>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</si>
  <si>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</si>
  <si>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</si>
  <si>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</si>
  <si>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</si>
  <si>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</si>
  <si>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</si>
  <si>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</si>
  <si>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</si>
  <si>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</si>
  <si>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</si>
  <si>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</si>
  <si>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</si>
  <si>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</si>
  <si>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</si>
  <si>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</si>
  <si>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</si>
  <si>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</si>
  <si>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</si>
  <si>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</si>
  <si>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</si>
  <si>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</si>
  <si>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</si>
  <si>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</si>
  <si>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</si>
  <si>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</si>
  <si>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</si>
  <si>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</si>
  <si>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</si>
  <si>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</si>
  <si>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</si>
  <si>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</si>
  <si>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</si>
  <si>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</si>
  <si>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</si>
  <si>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</si>
  <si>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</si>
  <si>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</si>
  <si>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</si>
  <si>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</si>
  <si>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</si>
  <si>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</si>
  <si>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</si>
  <si>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</si>
  <si>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</si>
  <si>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</si>
  <si>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</si>
  <si>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</si>
  <si>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</si>
  <si>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</si>
  <si>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</si>
  <si>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</si>
  <si>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</si>
  <si>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</si>
  <si>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</si>
  <si>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</si>
  <si>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</si>
  <si>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</si>
  <si>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</si>
  <si>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</si>
  <si>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</si>
  <si>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</si>
  <si>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</si>
  <si>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</si>
  <si>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</si>
  <si>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</si>
  <si>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</si>
  <si>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</si>
  <si>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</si>
  <si>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</si>
  <si>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</si>
  <si>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</si>
  <si>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</si>
  <si>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</si>
  <si>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</si>
  <si>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</si>
  <si>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</si>
  <si>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</si>
  <si>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</si>
  <si>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</si>
  <si>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</si>
  <si>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</si>
  <si>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</si>
  <si>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</si>
  <si>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</si>
  <si>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</si>
  <si>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</si>
  <si>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</si>
  <si>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</si>
  <si>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</si>
  <si>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</si>
  <si>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</si>
  <si>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</si>
  <si>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</si>
  <si>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</si>
  <si>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</si>
  <si>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</si>
  <si>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</si>
  <si>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</si>
  <si>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</si>
  <si>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</si>
  <si>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</si>
  <si>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</si>
  <si>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</si>
  <si>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</si>
  <si>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</si>
  <si>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</si>
  <si>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</si>
  <si>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</si>
  <si>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</si>
  <si>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</si>
  <si>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</si>
  <si>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</si>
  <si>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</si>
  <si>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</si>
  <si>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</si>
  <si>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</si>
  <si>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</si>
  <si>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</si>
  <si>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</si>
  <si>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</si>
  <si>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</si>
  <si>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</si>
  <si>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</si>
  <si>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</si>
  <si>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</si>
  <si>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</si>
  <si>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</si>
  <si>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</si>
  <si>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</si>
  <si>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</si>
  <si>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</si>
  <si>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</si>
  <si>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</si>
  <si>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</si>
  <si>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</si>
  <si>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</si>
  <si>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</si>
  <si>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</si>
  <si>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</si>
  <si>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</si>
  <si>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</si>
  <si>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</si>
  <si>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</si>
  <si>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</si>
  <si>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</si>
  <si>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</si>
  <si>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</si>
  <si>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</si>
  <si>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</si>
  <si>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</si>
  <si>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</si>
  <si>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</si>
  <si>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</si>
  <si>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</si>
  <si>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</si>
  <si>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</si>
  <si>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</si>
  <si>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</si>
  <si>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</si>
  <si>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</si>
  <si>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</si>
  <si>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</si>
  <si>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</si>
  <si>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</si>
  <si>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</si>
  <si>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</si>
  <si>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</si>
  <si>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</si>
  <si>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</si>
  <si>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</si>
  <si>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</si>
  <si>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</si>
  <si>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</si>
  <si>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Nota</t>
  </si>
  <si>
    <t>Siccome c'è differenza tra ciò  che viene suggerito in forma testuale e ciò che viene proposto in forma di codice, per gli outlier di house_size ho deciso di considerare i suggerimenti testuali.</t>
  </si>
  <si>
    <t>La soluzione non è considerata ottimale poiché incompleta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</si>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</sst>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zoomScale="93" zoomScaleNormal="64" workbookViewId="0">
      <selection activeCell="D5" sqref="D5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0.6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0.47222222222222221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0.7055555555555556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zoomScale="64" zoomScaleNormal="66" workbookViewId="0">
      <selection activeCell="I10" sqref="I10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 t="s">
        <v>219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0</v>
      </c>
      <c r="E4" s="3">
        <v>3</v>
      </c>
      <c r="F4" s="3">
        <v>10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  <c r="L4" t="s">
        <v>220</v>
      </c>
    </row>
    <row r="5" spans="1:12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2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3</v>
      </c>
      <c r="E8" s="3">
        <v>9</v>
      </c>
      <c r="F8" s="3">
        <v>10</v>
      </c>
      <c r="G8">
        <f t="shared" si="0"/>
        <v>0.25</v>
      </c>
      <c r="H8">
        <f t="shared" si="1"/>
        <v>0.23076923076923078</v>
      </c>
      <c r="I8" s="3">
        <f t="shared" si="2"/>
        <v>0.24000000000000002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0.41666666666666669</v>
      </c>
      <c r="H9" s="4">
        <f>IFERROR(SUM(H4:H8)/COUNTIF(C4:C8, "Sì"), 0)</f>
        <v>0.4102564102564103</v>
      </c>
      <c r="I9" s="13">
        <f>IFERROR(SUM(I4:I8)/COUNTIF(C4:C8, "Sì"), 0)</f>
        <v>0.41333333333333333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214</v>
      </c>
      <c r="C13" s="3"/>
      <c r="D13" s="3"/>
    </row>
    <row r="14" spans="1:12" x14ac:dyDescent="0.4">
      <c r="A14" t="s">
        <v>1</v>
      </c>
      <c r="B14" s="2" t="s">
        <v>215</v>
      </c>
      <c r="C14" s="3"/>
      <c r="D14" s="3"/>
    </row>
    <row r="15" spans="1:12" x14ac:dyDescent="0.4">
      <c r="A15" t="s">
        <v>2</v>
      </c>
      <c r="B15" s="2" t="s">
        <v>216</v>
      </c>
      <c r="C15" s="3"/>
      <c r="D15" s="3"/>
    </row>
    <row r="16" spans="1:12" x14ac:dyDescent="0.4">
      <c r="A16" t="s">
        <v>3</v>
      </c>
      <c r="B16" s="2" t="s">
        <v>217</v>
      </c>
      <c r="C16" s="3"/>
      <c r="D16" s="3"/>
    </row>
    <row r="17" spans="1:13" x14ac:dyDescent="0.4">
      <c r="A17" t="s">
        <v>4</v>
      </c>
      <c r="B17" s="2" t="s">
        <v>218</v>
      </c>
      <c r="C17" s="3"/>
      <c r="D17" s="2"/>
    </row>
    <row r="18" spans="1:13" x14ac:dyDescent="0.4">
      <c r="D18" s="3"/>
    </row>
    <row r="19" spans="1:13" x14ac:dyDescent="0.4">
      <c r="D19" s="3"/>
    </row>
    <row r="20" spans="1:13" x14ac:dyDescent="0.4">
      <c r="A20" s="4" t="s">
        <v>24</v>
      </c>
      <c r="B20" s="1">
        <f>I9</f>
        <v>0.41333333333333333</v>
      </c>
      <c r="C20" s="1" t="str">
        <f>IF(COUNTIF(C4:C8, "Sì")&gt;0, "Sì", "No")</f>
        <v>Sì</v>
      </c>
    </row>
    <row r="21" spans="1:13" x14ac:dyDescent="0.4">
      <c r="D21" s="3"/>
    </row>
    <row r="22" spans="1:13" x14ac:dyDescent="0.4">
      <c r="D22" s="3"/>
    </row>
    <row r="23" spans="1:13" x14ac:dyDescent="0.4">
      <c r="A23" s="4" t="s">
        <v>42</v>
      </c>
      <c r="D23" s="3"/>
    </row>
    <row r="24" spans="1:13" x14ac:dyDescent="0.4">
      <c r="D24" s="3"/>
    </row>
    <row r="25" spans="1:13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  <c r="M25" t="s">
        <v>219</v>
      </c>
    </row>
    <row r="26" spans="1:13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3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3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3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3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3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3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3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3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3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3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3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0</v>
      </c>
      <c r="E37" s="6" t="s">
        <v>60</v>
      </c>
      <c r="F37" s="6"/>
      <c r="L37" s="7" t="str">
        <f t="shared" si="3"/>
        <v>Dispari</v>
      </c>
      <c r="M37" t="s">
        <v>221</v>
      </c>
    </row>
    <row r="38" spans="1:13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3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3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3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3" x14ac:dyDescent="0.4">
      <c r="A42" s="6"/>
      <c r="B42" s="6"/>
      <c r="C42" s="8"/>
      <c r="D42" s="8"/>
      <c r="E42" s="6"/>
      <c r="F42" s="6"/>
    </row>
    <row r="43" spans="1:13" x14ac:dyDescent="0.4">
      <c r="A43" s="6"/>
      <c r="B43" s="6"/>
      <c r="C43" s="8"/>
      <c r="D43" s="8"/>
      <c r="E43" s="6"/>
      <c r="F43" s="6"/>
    </row>
    <row r="44" spans="1:13" x14ac:dyDescent="0.4">
      <c r="A44" s="9" t="s">
        <v>64</v>
      </c>
      <c r="B44" s="6">
        <f>IFERROR(( SUMIF(L26:L41, "Pari",D26:D41) * 0.8 + SUMIF(L26:L41, "Dispari",D26:D41) * 0.2)/(COUNTIF(C26:C41,"Sì")/2), 0)</f>
        <v>0.93333333333333346</v>
      </c>
      <c r="C44" s="1" t="str">
        <f>IF(COUNTIF(C26:C41, "Sì")&gt;0, "Sì", "No")</f>
        <v>Sì</v>
      </c>
      <c r="D44" s="8"/>
      <c r="E44" s="6"/>
      <c r="F44" s="6"/>
    </row>
    <row r="45" spans="1:13" x14ac:dyDescent="0.4">
      <c r="D45" s="3"/>
    </row>
    <row r="46" spans="1:13" x14ac:dyDescent="0.4">
      <c r="D46" s="3"/>
    </row>
    <row r="47" spans="1:13" x14ac:dyDescent="0.4">
      <c r="A47" s="4" t="s">
        <v>68</v>
      </c>
      <c r="D47" s="3"/>
    </row>
    <row r="48" spans="1:13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222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223</v>
      </c>
      <c r="G50" s="6"/>
      <c r="J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223</v>
      </c>
      <c r="G51" s="6"/>
      <c r="J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223</v>
      </c>
      <c r="G52" s="6"/>
      <c r="J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0</v>
      </c>
      <c r="E53" s="6" t="s">
        <v>93</v>
      </c>
      <c r="F53" t="s">
        <v>223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223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223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223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223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223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223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223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223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224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224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224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224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224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224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225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225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225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225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225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225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225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225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t="s">
        <v>225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t="s">
        <v>225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t="s">
        <v>225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t="s">
        <v>225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224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224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224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224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t="s">
        <v>224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t="s">
        <v>224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223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223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223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223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223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223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223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223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223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223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t="s">
        <v>223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t="s">
        <v>223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t="s">
        <v>226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t="s">
        <v>226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226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226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t="s">
        <v>226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t="s">
        <v>226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227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227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227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227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227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227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224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224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224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224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224</v>
      </c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224</v>
      </c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223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223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223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223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223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223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0.83529411764705885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1</v>
      </c>
      <c r="E131" s="8">
        <v>0</v>
      </c>
      <c r="F131" s="8">
        <v>29</v>
      </c>
      <c r="G131" s="6">
        <f>IFERROR(D131/(D131+E131), 0)</f>
        <v>1</v>
      </c>
      <c r="H131" s="6">
        <f>IFERROR(D131/(D131+F131), 0)</f>
        <v>3.3333333333333333E-2</v>
      </c>
      <c r="I131">
        <f>IFERROR((2*G131*H131)/(G131+H131), 0)</f>
        <v>6.4516129032258063E-2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3.3333333333333333E-2</v>
      </c>
      <c r="I132" s="15">
        <f>IFERROR((I130+I131)/COUNTIF(C130:C131, "Sì"), 0)</f>
        <v>6.4516129032258063E-2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6.4516129032258063E-2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0.56161922833649591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87" workbookViewId="0">
      <selection activeCell="D4" sqref="D4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66" zoomScaleNormal="66" workbookViewId="0">
      <selection activeCell="D58" sqref="D5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8" x14ac:dyDescent="0.4">
      <c r="A1" s="4" t="s">
        <v>18</v>
      </c>
      <c r="C1" s="2"/>
      <c r="D1" s="3"/>
    </row>
    <row r="2" spans="1:8" x14ac:dyDescent="0.4">
      <c r="C2" s="1"/>
      <c r="D2" s="3"/>
    </row>
    <row r="3" spans="1:8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  <c r="H3" s="3" t="s">
        <v>219</v>
      </c>
    </row>
    <row r="4" spans="1:8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  <c r="H4" t="s">
        <v>220</v>
      </c>
    </row>
    <row r="5" spans="1:8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8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8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8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8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8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8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8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8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8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0.66666666666666663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0.14117647058823532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0.40196078431372551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zoomScale="67" workbookViewId="0">
      <selection activeCell="E4" sqref="E4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1</v>
      </c>
      <c r="E7" s="3">
        <f>1-((D7-1)/4)</f>
        <v>1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1</v>
      </c>
      <c r="E8" s="3">
        <f>1-((D8-1)/4)</f>
        <v>1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1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0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0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1</v>
      </c>
      <c r="E19" s="3">
        <f t="shared" si="0"/>
        <v>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0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3</v>
      </c>
      <c r="E24" s="3">
        <f t="shared" si="0"/>
        <v>0.81818181818181812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3</v>
      </c>
      <c r="E25" s="3">
        <f t="shared" si="0"/>
        <v>0.81818181818181812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0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3</v>
      </c>
      <c r="E28" s="3">
        <f t="shared" si="0"/>
        <v>0.81818181818181812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0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0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3</v>
      </c>
      <c r="E33" s="3">
        <f t="shared" si="0"/>
        <v>0.81818181818181812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1</v>
      </c>
      <c r="E44" s="3">
        <f t="shared" si="0"/>
        <v>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1</v>
      </c>
      <c r="E45" s="3">
        <f t="shared" si="0"/>
        <v>1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1</v>
      </c>
      <c r="E46" s="3">
        <f t="shared" si="0"/>
        <v>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0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3</v>
      </c>
      <c r="E48" s="3">
        <f t="shared" si="0"/>
        <v>0.81818181818181812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3</v>
      </c>
      <c r="E49" s="3">
        <f t="shared" si="0"/>
        <v>0.81818181818181812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0.82887700534759368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0.91443850267379689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2025-10-25T08:58:33Z</dcterms:modified>
</cp:coreProperties>
</file>