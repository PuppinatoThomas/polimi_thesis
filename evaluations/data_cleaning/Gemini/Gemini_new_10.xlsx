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"/>
    </mc:Choice>
  </mc:AlternateContent>
  <xr:revisionPtr revIDLastSave="0" documentId="8_{763DC7F8-98E6-4676-8EBA-292996FD2921}" xr6:coauthVersionLast="47" xr6:coauthVersionMax="47" xr10:uidLastSave="{00000000-0000-0000-0000-000000000000}"/>
  <bookViews>
    <workbookView xWindow="-110" yWindow="-110" windowWidth="19420" windowHeight="10420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132" i="6"/>
  <c r="C81" i="4"/>
  <c r="C134" i="2" l="1"/>
  <c r="B132" i="6" l="1"/>
  <c r="B81" i="4"/>
  <c r="B134" i="2"/>
  <c r="I132" i="2"/>
  <c r="I131" i="2"/>
  <c r="I130" i="2"/>
  <c r="H132" i="2"/>
  <c r="H131" i="2"/>
  <c r="H130" i="2"/>
  <c r="G132" i="2"/>
  <c r="G131" i="2"/>
  <c r="G130" i="2"/>
  <c r="I5" i="2" l="1"/>
  <c r="I6" i="2"/>
  <c r="H5" i="2"/>
  <c r="H6" i="2"/>
  <c r="H7" i="2"/>
  <c r="I7" i="2" s="1"/>
  <c r="H8" i="2"/>
  <c r="H4" i="2"/>
  <c r="G5" i="2"/>
  <c r="G6" i="2"/>
  <c r="G7" i="2"/>
  <c r="G8" i="2"/>
  <c r="G4" i="2"/>
  <c r="C129" i="6"/>
  <c r="C128" i="6"/>
  <c r="C127" i="6"/>
  <c r="C126" i="6"/>
  <c r="C78" i="4"/>
  <c r="E5" i="5"/>
  <c r="E6" i="5"/>
  <c r="E7" i="5"/>
  <c r="E8" i="5"/>
  <c r="E4" i="5"/>
  <c r="C131" i="2"/>
  <c r="C130" i="2"/>
  <c r="I8" i="2" l="1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71" i="4" l="1"/>
  <c r="C55" i="5"/>
  <c r="B120" i="6"/>
  <c r="C120" i="6"/>
  <c r="C124" i="2"/>
  <c r="B124" i="2"/>
  <c r="B71" i="4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4" i="2"/>
  <c r="C20" i="2" s="1"/>
  <c r="C6" i="2"/>
  <c r="C7" i="2"/>
  <c r="C8" i="2"/>
  <c r="C5" i="2"/>
  <c r="B27" i="1"/>
  <c r="C44" i="2" l="1"/>
  <c r="B44" i="2"/>
  <c r="B27" i="4"/>
  <c r="C27" i="4"/>
  <c r="C40" i="6"/>
  <c r="B40" i="6"/>
  <c r="I9" i="2"/>
  <c r="B20" i="2" s="1"/>
  <c r="H9" i="2"/>
  <c r="G9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16" i="6" s="1"/>
  <c r="C5" i="4"/>
  <c r="C6" i="4"/>
  <c r="C7" i="4"/>
  <c r="C8" i="4"/>
  <c r="C4" i="4"/>
  <c r="B11" i="1"/>
  <c r="B84" i="1" s="1"/>
  <c r="B137" i="2" l="1"/>
  <c r="C11" i="5"/>
  <c r="C11" i="4"/>
  <c r="B11" i="5"/>
  <c r="B16" i="6"/>
  <c r="B135" i="6" s="1"/>
  <c r="B11" i="4"/>
  <c r="B58" i="5" l="1"/>
  <c r="B84" i="4"/>
</calcChain>
</file>

<file path=xl/sharedStrings.xml><?xml version="1.0" encoding="utf-8"?>
<sst xmlns="http://schemas.openxmlformats.org/spreadsheetml/2006/main" count="1178" uniqueCount="205">
  <si>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</si>
  <si>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</si>
  <si>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</si>
  <si>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</si>
  <si>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</si>
  <si>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</si>
  <si>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</si>
  <si>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</si>
  <si>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</si>
  <si>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</si>
  <si>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</si>
  <si>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</si>
  <si>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</si>
  <si>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</si>
  <si>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</si>
  <si>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</si>
  <si>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</si>
  <si>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</si>
  <si>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</si>
  <si>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</si>
  <si>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</si>
  <si>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</si>
  <si>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</si>
  <si>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</si>
  <si>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</si>
  <si>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</si>
  <si>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</si>
  <si>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</si>
  <si>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</si>
  <si>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</si>
  <si>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</si>
  <si>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</si>
  <si>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</si>
  <si>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</si>
  <si>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</si>
  <si>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</si>
  <si>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</si>
  <si>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</si>
  <si>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</si>
  <si>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</si>
  <si>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</si>
  <si>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</si>
  <si>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</si>
  <si>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</si>
  <si>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</si>
  <si>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</si>
  <si>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</si>
  <si>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</si>
  <si>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</si>
  <si>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</si>
  <si>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</si>
  <si>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</si>
  <si>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</si>
  <si>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</si>
  <si>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</si>
  <si>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</si>
  <si>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</si>
  <si>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</si>
  <si>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</si>
  <si>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</si>
  <si>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</si>
  <si>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</si>
  <si>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</si>
  <si>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</si>
  <si>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</si>
  <si>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</si>
  <si>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</si>
  <si>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</si>
  <si>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</si>
  <si>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</si>
  <si>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</si>
  <si>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</si>
  <si>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</si>
  <si>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</si>
  <si>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</si>
  <si>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</si>
  <si>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</si>
  <si>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</si>
  <si>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</si>
  <si>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</si>
  <si>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</si>
  <si>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</si>
  <si>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</si>
  <si>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</si>
  <si>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</si>
  <si>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</si>
  <si>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</si>
  <si>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</si>
  <si>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</si>
  <si>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</si>
  <si>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</si>
  <si>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</si>
  <si>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</si>
  <si>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</si>
  <si>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</si>
  <si>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</si>
  <si>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</si>
  <si>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</si>
  <si>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</si>
  <si>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</si>
  <si>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</si>
  <si>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</si>
  <si>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</si>
  <si>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</si>
  <si>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</si>
  <si>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</si>
  <si>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</si>
  <si>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</si>
  <si>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</si>
  <si>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</si>
  <si>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</si>
  <si>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</si>
  <si>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</si>
  <si>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</si>
  <si>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</si>
  <si>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</si>
  <si>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</si>
  <si>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</si>
  <si>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</si>
  <si>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</si>
  <si>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</si>
  <si>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</si>
  <si>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</si>
  <si>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</si>
  <si>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</si>
  <si>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</si>
  <si>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</si>
  <si>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</si>
  <si>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</si>
  <si>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</si>
  <si>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</si>
  <si>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</si>
  <si>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</si>
  <si>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</si>
  <si>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</si>
  <si>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</si>
  <si>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</si>
  <si>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</si>
  <si>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</si>
  <si>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</si>
  <si>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</si>
  <si>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</si>
  <si>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</si>
  <si>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</si>
  <si>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</si>
  <si>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</si>
  <si>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</si>
  <si>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</si>
  <si>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</si>
  <si>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</si>
  <si>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</si>
  <si>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</si>
  <si>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</si>
  <si>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</si>
  <si>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</si>
  <si>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</si>
  <si>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</si>
  <si>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</si>
  <si>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</si>
  <si>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</si>
  <si>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</si>
  <si>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</si>
  <si>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</si>
  <si>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</si>
  <si>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</si>
  <si>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</si>
  <si>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</si>
  <si>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</si>
  <si>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</si>
  <si>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</si>
  <si>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</si>
  <si>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</si>
  <si>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</si>
  <si>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</si>
  <si>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</si>
  <si>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</si>
  <si>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</si>
  <si>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</si>
  <si>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</si>
  <si>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</si>
  <si>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</si>
  <si>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</si>
  <si>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</si>
  <si>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</si>
  <si>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</si>
  <si>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</si>
  <si>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</si>
  <si>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6 - 76</t>
  </si>
  <si>
    <t>13 - 99</t>
  </si>
  <si>
    <t>16 - 85 - 92</t>
  </si>
  <si>
    <t>26 - 40</t>
  </si>
  <si>
    <t>35 - 50</t>
  </si>
  <si>
    <t>37 - 59</t>
  </si>
  <si>
    <t>42 - 68 - 78</t>
  </si>
  <si>
    <t>66 - 69</t>
  </si>
  <si>
    <t>menziona o fa l'exact matching</t>
  </si>
  <si>
    <t>menziona o fa il non-exact matching</t>
  </si>
  <si>
    <t>Completeness!B77</t>
  </si>
  <si>
    <t>1075000.0, 1075000.0, 1150000.0, 1300000.0, 1979000.0, 2199000.0, 2365000.0, 2450000.0</t>
  </si>
  <si>
    <t>1, 6, 8, 8, 8, 12</t>
  </si>
  <si>
    <t>5, 5, 5, 6, 6, 7, 11, 12, 12</t>
  </si>
  <si>
    <t>0.7, 0.86, 0.9, 1.04, 1.08, 2.12, 3.0, 4.44, 8.36, 9.0, 10.0, 10.0, 14.25, 27.59, 35.0</t>
  </si>
  <si>
    <t>12.0, 85.0, 230.0, 280.0, 3650.0, 3765.0, 3789.0, 4145.0, 4156.0, 4758.0, 5828.0</t>
  </si>
  <si>
    <t>Nota</t>
  </si>
  <si>
    <t>Non nomina né outlier detection né duplicate detection, fa solo missing value detection ma non fa data imputation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</si>
</sst>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7"/>
  <sheetViews>
    <sheetView tabSelected="1" topLeftCell="A68" zoomScale="63" workbookViewId="0">
      <selection activeCell="B84" sqref="B84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0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0</v>
      </c>
    </row>
    <row r="8" spans="1:4" x14ac:dyDescent="0.4">
      <c r="A8" t="s">
        <v>4</v>
      </c>
      <c r="B8" t="s">
        <v>9</v>
      </c>
      <c r="C8" s="3" t="s">
        <v>10</v>
      </c>
      <c r="D8" s="3">
        <v>0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195</v>
      </c>
      <c r="C77" s="3" t="s">
        <v>182</v>
      </c>
      <c r="D77" s="3">
        <v>0</v>
      </c>
    </row>
    <row r="78" spans="1:4" x14ac:dyDescent="0.4">
      <c r="B78" t="s">
        <v>196</v>
      </c>
      <c r="C78" s="3" t="s">
        <v>10</v>
      </c>
      <c r="D78" s="3">
        <v>0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0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0.1875</v>
      </c>
    </row>
    <row r="86" spans="1:4" x14ac:dyDescent="0.4">
      <c r="A86" t="s">
        <v>203</v>
      </c>
    </row>
    <row r="87" spans="1:4" x14ac:dyDescent="0.4">
      <c r="A87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42"/>
  <sheetViews>
    <sheetView topLeftCell="A124" zoomScale="52" workbookViewId="0">
      <selection activeCell="D44" sqref="D44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No</v>
      </c>
      <c r="D4" s="3">
        <v>0</v>
      </c>
      <c r="E4" s="3">
        <v>0</v>
      </c>
      <c r="F4" s="3">
        <v>0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No</v>
      </c>
      <c r="D7" s="3">
        <v>0</v>
      </c>
      <c r="E7" s="3">
        <v>0</v>
      </c>
      <c r="F7" s="3">
        <v>0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No</v>
      </c>
      <c r="D8" s="3">
        <v>0</v>
      </c>
      <c r="E8" s="3">
        <v>0</v>
      </c>
      <c r="F8" s="3">
        <v>0</v>
      </c>
      <c r="G8">
        <f t="shared" si="0"/>
        <v>0</v>
      </c>
      <c r="H8">
        <f t="shared" si="1"/>
        <v>0</v>
      </c>
      <c r="I8" s="3">
        <f t="shared" si="2"/>
        <v>0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</v>
      </c>
      <c r="H9" s="4">
        <f>IFERROR(SUM(H4:H8)/COUNTIF(C4:C8, "Sì"), 0)</f>
        <v>0</v>
      </c>
      <c r="I9" s="13">
        <f>IFERROR(SUM(I4:I8)/COUNTIF(C4:C8, "Sì"), 0)</f>
        <v>0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198</v>
      </c>
      <c r="C13" s="3"/>
      <c r="D13" s="3"/>
    </row>
    <row r="14" spans="1:10" x14ac:dyDescent="0.4">
      <c r="A14" t="s">
        <v>1</v>
      </c>
      <c r="B14" s="2" t="s">
        <v>199</v>
      </c>
      <c r="C14" s="3"/>
      <c r="D14" s="3"/>
    </row>
    <row r="15" spans="1:10" x14ac:dyDescent="0.4">
      <c r="A15" t="s">
        <v>2</v>
      </c>
      <c r="B15" s="2" t="s">
        <v>200</v>
      </c>
      <c r="C15" s="3"/>
      <c r="D15" s="3"/>
    </row>
    <row r="16" spans="1:10" x14ac:dyDescent="0.4">
      <c r="A16" t="s">
        <v>3</v>
      </c>
      <c r="B16" s="2" t="s">
        <v>201</v>
      </c>
      <c r="C16" s="3"/>
      <c r="D16" s="3"/>
    </row>
    <row r="17" spans="1:12" x14ac:dyDescent="0.4">
      <c r="A17" t="s">
        <v>4</v>
      </c>
      <c r="B17" s="2" t="s">
        <v>202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</v>
      </c>
      <c r="C20" s="1" t="str">
        <f>IF(COUNTIF(C4:C8, "Sì")&gt;0, "Sì", "No")</f>
        <v>No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0.96666666666666679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 t="shared" ref="P50:P113" si="4"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si="4"/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 t="shared" ref="P114:P121" si="5"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si="5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</v>
      </c>
      <c r="C124" s="1" t="str">
        <f>IF(COUNTIF(C50:C121, "Sì")&gt;0, "Sì", "No")</f>
        <v>No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197</v>
      </c>
    </row>
    <row r="131" spans="1:10" x14ac:dyDescent="0.4">
      <c r="B131" s="6" t="s">
        <v>152</v>
      </c>
      <c r="C131" s="8" t="str">
        <f>IF(Completeness!D78=1,"Sì","No")</f>
        <v>No</v>
      </c>
      <c r="D131" s="8">
        <v>0</v>
      </c>
      <c r="E131" s="8">
        <v>0</v>
      </c>
      <c r="F131" s="8">
        <v>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No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(B20+B44+B124+B134)/(COUNTIF(C20,"Sì")+COUNTIF(C44,"Sì")+COUNTIF(C124,"Sì")+COUNTIF(C134,"Sì"))</f>
        <v>0.96666666666666679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12" zoomScale="56" zoomScaleNormal="100" workbookViewId="0">
      <selection activeCell="D24" sqref="D24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No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No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No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No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0</v>
      </c>
      <c r="C71" s="1" t="str">
        <f>IF(COUNTIF(C33:C68, "Sì")&gt;0, "Sì", "No")</f>
        <v>No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197</v>
      </c>
    </row>
    <row r="78" spans="1:5" x14ac:dyDescent="0.4">
      <c r="B78" s="6" t="s">
        <v>165</v>
      </c>
      <c r="C78" s="8" t="str">
        <f>IF(Completeness!D78=1,"Sì","No")</f>
        <v>No</v>
      </c>
      <c r="D78" s="8">
        <v>0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0</v>
      </c>
      <c r="C81" s="1" t="str">
        <f>IF(COUNTIF(C77:C78, "Sì")&gt;0, "Sì", "No")</f>
        <v>No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(B11+B27+B71+B81)/(COUNTIF(C11, "Sì")+COUNTIF(C27, "Sì")+COUNTIF(C71, "Sì")+COUNTIF(C81, "Sì"))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34" zoomScale="55" workbookViewId="0">
      <selection activeCell="D39" sqref="D39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No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No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No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No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No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No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</v>
      </c>
      <c r="C16" s="1" t="str">
        <f>IF(COUNTIF(C4:C13, "Sì")&gt;0, "Sì", "No")</f>
        <v>No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0.80000000000000016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No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197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197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No</v>
      </c>
      <c r="D128" s="8">
        <v>0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No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</v>
      </c>
      <c r="C132" s="1" t="str">
        <f>IF(COUNTIF(C126:C129, "Sì")&gt;0, "Sì", "No")</f>
        <v>No</v>
      </c>
      <c r="D132" s="6"/>
    </row>
    <row r="135" spans="1:7" x14ac:dyDescent="0.4">
      <c r="A135" s="4" t="s">
        <v>175</v>
      </c>
      <c r="B135">
        <f>(B16+B40+B120+B132)/(COUNTIF(C16, "Sì")+COUNTIF(C40, "Sì")+COUNTIF(C120, "Sì")+COUNTIF(C132, "Sì"))</f>
        <v>0.80000000000000016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zoomScale="49" workbookViewId="0">
      <selection activeCell="D17" sqref="D17:D52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No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No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No</v>
      </c>
      <c r="D8" s="3">
        <v>5</v>
      </c>
      <c r="E8" s="3">
        <f>1-((D8-1)/4)</f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No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0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0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0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0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0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0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0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0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0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0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0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0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0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</v>
      </c>
      <c r="C55" s="1" t="str">
        <f>IF(COUNTIF(C17:C52, "Sì")&gt;0, "Sì", "No")</f>
        <v>No</v>
      </c>
      <c r="D55"/>
    </row>
    <row r="58" spans="1:6" x14ac:dyDescent="0.4">
      <c r="A58" s="4" t="s">
        <v>176</v>
      </c>
      <c r="B58" t="e">
        <f>(B11+B55)/(COUNTIF(C11, "Sì")+COUNTIF(C55, "Sì"))</f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69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2025-08-29T20:57:31Z</dcterms:modified>
</cp:coreProperties>
</file>