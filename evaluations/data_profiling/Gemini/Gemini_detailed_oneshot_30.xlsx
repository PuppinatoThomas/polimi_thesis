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13_ncr:1_{A5B1E86B-CFDF-4190-9CEF-CC7D24DA40DB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2" l="1"/>
  <c r="C94" i="2"/>
  <c r="C95" i="2"/>
  <c r="C96" i="2"/>
  <c r="C97" i="2"/>
  <c r="C98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7" i="2"/>
  <c r="C8" i="2"/>
  <c r="C9" i="2"/>
  <c r="B101" i="2" s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168" i="3"/>
  <c r="C169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5" i="3"/>
  <c r="C24" i="3"/>
  <c r="C23" i="3"/>
  <c r="C22" i="3"/>
  <c r="C21" i="3"/>
  <c r="C20" i="3"/>
  <c r="C17" i="3"/>
  <c r="C16" i="3"/>
  <c r="J162" i="3"/>
  <c r="J163" i="3"/>
  <c r="J164" i="3"/>
  <c r="J165" i="3"/>
  <c r="J166" i="3"/>
  <c r="J167" i="3"/>
  <c r="J168" i="3"/>
  <c r="J169" i="3"/>
  <c r="C13" i="3"/>
  <c r="C12" i="3"/>
  <c r="C11" i="3"/>
  <c r="C10" i="3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2" i="3"/>
  <c r="C35" i="3"/>
  <c r="C34" i="3"/>
  <c r="C27" i="3"/>
  <c r="C19" i="3"/>
  <c r="C15" i="3"/>
  <c r="C9" i="3"/>
  <c r="C7" i="3"/>
  <c r="C5" i="3"/>
  <c r="C3" i="3"/>
  <c r="C26" i="3"/>
  <c r="C18" i="3"/>
  <c r="C14" i="3"/>
  <c r="C2" i="2"/>
  <c r="C8" i="3"/>
  <c r="C2" i="3"/>
  <c r="C4" i="3"/>
  <c r="C6" i="3"/>
  <c r="C4" i="2"/>
  <c r="C5" i="2"/>
  <c r="C6" i="2"/>
  <c r="C3" i="2"/>
  <c r="B172" i="3" l="1"/>
</calcChain>
</file>

<file path=xl/sharedStrings.xml><?xml version="1.0" encoding="utf-8"?>
<sst xmlns="http://schemas.openxmlformats.org/spreadsheetml/2006/main" count="986" uniqueCount="259">
  <si>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</si>
  <si>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</si>
  <si>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</si>
  <si>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</si>
  <si>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</si>
  <si>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</si>
  <si>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</si>
  <si>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</si>
  <si>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</si>
  <si>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</si>
  <si>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</si>
  <si>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</si>
  <si>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</si>
  <si>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</si>
  <si>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</si>
  <si>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</si>
  <si>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</si>
  <si>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</si>
  <si>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</si>
  <si>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</si>
  <si>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</si>
  <si>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</si>
  <si>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</si>
  <si>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</si>
  <si>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</si>
  <si>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</si>
  <si>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</si>
  <si>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</si>
  <si>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</si>
  <si>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</si>
  <si>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</si>
  <si>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</si>
  <si>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</si>
  <si>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</si>
  <si>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</si>
  <si>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</si>
  <si>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</si>
  <si>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</si>
  <si>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</si>
  <si>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</si>
  <si>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</si>
  <si>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</si>
  <si>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</si>
  <si>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</si>
  <si>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</si>
  <si>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</si>
  <si>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</si>
  <si>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</si>
  <si>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</si>
  <si>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</si>
  <si>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</si>
  <si>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</si>
  <si>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</si>
  <si>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</si>
  <si>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</si>
  <si>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</si>
  <si>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</si>
  <si>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</si>
  <si>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</si>
  <si>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</si>
  <si>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</si>
  <si>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</si>
  <si>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</si>
  <si>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</si>
  <si>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</si>
  <si>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</si>
  <si>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</si>
  <si>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</si>
  <si>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</si>
  <si>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</si>
  <si>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</si>
  <si>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</si>
  <si>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</si>
  <si>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</si>
  <si>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</si>
  <si>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</si>
  <si>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</si>
  <si>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</si>
  <si>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</si>
  <si>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</si>
  <si>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</si>
  <si>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</si>
  <si>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</si>
  <si>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</si>
  <si>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</si>
  <si>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</si>
  <si>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</si>
  <si>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</si>
  <si>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</si>
  <si>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</si>
  <si>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</si>
  <si>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</si>
  <si>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</si>
  <si>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</si>
  <si>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</si>
  <si>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</si>
  <si>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</si>
  <si>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</si>
  <si>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</si>
  <si>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</si>
  <si>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</si>
  <si>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massimo (12) è giusto / il metodo</t>
  </si>
  <si>
    <t>il valore massimo è giusto (12) / il metodo è giusto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</si>
  <si>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</si>
  <si>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</si>
  <si>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</si>
  <si>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</si>
  <si>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l'istogramma delle frequencies è corretto / il metodo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</si>
  <si>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</si>
  <si>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</si>
  <si>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</si>
  <si>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</si>
  <si>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</si>
  <si>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</si>
  <si>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</si>
  <si>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</si>
  <si>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</si>
  <si>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</si>
  <si>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</si>
  <si>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</si>
  <si>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</si>
  <si>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</si>
  <si>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</si>
  <si>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</si>
  <si>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</si>
  <si>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</si>
  <si>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</si>
  <si>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</si>
  <si>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</si>
  <si>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</si>
  <si>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</si>
  <si>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</si>
  <si>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</si>
  <si>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</si>
  <si>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</si>
  <si>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</si>
  <si>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</si>
  <si>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</si>
  <si>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</si>
  <si>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</si>
  <si>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</si>
  <si>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</si>
  <si>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</si>
  <si>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</si>
  <si>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</si>
  <si>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</si>
  <si>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</si>
  <si>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</si>
  <si>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</si>
  <si>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</si>
  <si>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</si>
  <si>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</si>
  <si>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</si>
  <si>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</si>
  <si>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</si>
  <si>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</si>
  <si>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</si>
  <si>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</si>
  <si>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</si>
  <si>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</si>
  <si>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</si>
  <si>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</si>
  <si>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</si>
  <si>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</si>
  <si>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</si>
  <si>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</si>
  <si>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</si>
  <si>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</si>
  <si>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</si>
  <si>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</si>
  <si>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</si>
  <si>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</si>
  <si>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</si>
  <si>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</si>
  <si>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</si>
  <si>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</si>
  <si>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</si>
  <si>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</si>
  <si>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</si>
  <si>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</si>
  <si>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</si>
  <si>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</si>
  <si>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</si>
  <si>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</si>
  <si>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</si>
  <si>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</si>
  <si>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</si>
  <si>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</si>
  <si>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</si>
  <si>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</si>
  <si>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</si>
  <si>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</si>
  <si>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</si>
  <si>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</si>
  <si>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</si>
  <si>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</si>
  <si>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</si>
  <si>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</si>
  <si>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</si>
  <si>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</si>
  <si>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segnala correlazione fra: state - zip-code, bath - house_size, house_size - state / il metodo è giusto</t>
  </si>
  <si>
    <t>segnala 'status', 'acre_lot', 'zip_code' come ucc / il metodo per trovarle è giusto</t>
  </si>
  <si>
    <t>N.B. ci sono anche altre ucc, qui è segnata quella minima</t>
  </si>
  <si>
    <t>menziona il minimo del range dei valori (B23)</t>
  </si>
  <si>
    <t>menziona il massimo del range dei valori (B24)</t>
  </si>
  <si>
    <t>menziona  il massimo del range dei valori (B46)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</si>
  <si>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</si>
  <si>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</si>
  <si>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</si>
  <si>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</si>
  <si>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</si>
  <si>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</si>
  <si>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</si>
  <si>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</si>
  <si>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(22 400) / il metodo è giusto</t>
  </si>
  <si>
    <t>il valore massimo è giusto (12 312 100) / il metodo è giusto</t>
  </si>
  <si>
    <t>il valore medio è giusto (717 555,038) / il metodo è giusto</t>
  </si>
  <si>
    <t>Q1: 232 500 - Q2: 365 000- Q3: 608 375 / il metodo è giusto</t>
  </si>
  <si>
    <t>la varianza (2887562114892,239) è giusta / la standard deviation (1699282,824) è giusta / il metodo è giusto</t>
  </si>
  <si>
    <t>il valore medio è giusto (4,05) / il metodo è giusto</t>
  </si>
  <si>
    <t>Q1: 3 - Q2: 3 - Q3: 4 / il metodo è giusto</t>
  </si>
  <si>
    <t>la varianza (4,453) è giusta / la standard deviation (2,11) è giusta / il metodo è giusto</t>
  </si>
  <si>
    <t>il valore medio è giusto (3,425) / il metodo è giusto</t>
  </si>
  <si>
    <t>Q1: 2 - Q2: 2 - Q3: 4 / il metodo è giusto</t>
  </si>
  <si>
    <t>la varianza (6,779) è giusta / la standard deviation (2,604) è giusta / il metodo è giusto</t>
  </si>
  <si>
    <t>il valore minimo è giusto (0,00071) / il metodo è giusto</t>
  </si>
  <si>
    <t>il valore massimo è giusto (27,59) / il metodo è giusto</t>
  </si>
  <si>
    <t>il valore medio è giusto (1,091) / il metodo è giusto</t>
  </si>
  <si>
    <t>Q1: 0,15 - Q2: 0,2 - Q3: 0,35</t>
  </si>
  <si>
    <t>la varianza (13,457) è giusta / la standard deviation (3,668) è giusta / il metodo è giusto</t>
  </si>
  <si>
    <t>il valore minimo è giusto (1,151 * 10^-5) / il metodo è giusto</t>
  </si>
  <si>
    <t>il valore massimo è giusto (10 440) / il metodo è giusto</t>
  </si>
  <si>
    <t>il valore medio è giusto (1965,631) / il metodo è giusto</t>
  </si>
  <si>
    <t>Q1: 1123 - Q2: 1902 - Q3: 2381</t>
  </si>
  <si>
    <t>la varianza (2 682 350,911) è giusta / la standard deviation (1637,788) è giusta / il metodo è giusto</t>
  </si>
  <si>
    <t>il numero o la percentuale di missing values è giusto (195 - 16,25%) / il metodo è giusto</t>
  </si>
  <si>
    <t>il numero di duplicati (esatti) è giusto (0 righe duplicate) / il metodo è giusto</t>
  </si>
  <si>
    <t>il numero o la percentuale di missing values è giusto (30 - 30%) / il metodo è giusto</t>
  </si>
  <si>
    <t>il numero o la percentuale di missing values è giusto (15 - 15%) / il metodo è giusto</t>
  </si>
  <si>
    <t>il numero o la percentuale di missing values è giusto (7 - 7%) / il metodo è giusto</t>
  </si>
  <si>
    <t>il numero o la percentuale di missing values è giusto (8 - 8%) / il metodo è giusto</t>
  </si>
  <si>
    <t>il numero o la percentuale di missing values è giusto (5 - 5%) / il metodo è giusto</t>
  </si>
  <si>
    <t>il numero o la percentuale di missing values è giusto (10 - 10%) / il metodo è giusto</t>
  </si>
  <si>
    <t>il numero o la percentuale di distinct values è giusto (61 - 61%) / il metodo è giusto</t>
  </si>
  <si>
    <t>il numero o la percentuale o l'elenco di distinct values è giusto (6 - 6%) / il metodo è giusto</t>
  </si>
  <si>
    <t>il numero o la percentuale di distinct values è giusto (68 - 68%) / il metodo è giusto</t>
  </si>
  <si>
    <t>il numero o la percentuale di distinct values è giusto (17 - 17%) / il metodo è giusto</t>
  </si>
  <si>
    <t>il numero o la percentuale di distinct values è giusto (14 - 14%) / il metodo è giusto</t>
  </si>
  <si>
    <t>il numero o la percentuale di distinct values è giusto (55 - 55%) / il metodo è giusto</t>
  </si>
  <si>
    <t>il numero o la percentuale di distinct values è giusto (69 - 69%) / il metodo è giusto</t>
  </si>
  <si>
    <t>il numero o la percentuale di distinct values è giusto (52 - 52%) / il metodo è giusto</t>
  </si>
  <si>
    <t>il numero o la percentuale di distinct values è giusto (37 - 37%) / il metodo è giusto</t>
  </si>
  <si>
    <t>il numero o la percentuale di distinct values è giusto (56 - 56%) / il metodo è giusto</t>
  </si>
  <si>
    <t>il numero o la percentuale di distinct values è giusto (74 - 74%) / il metodo è giusto</t>
  </si>
  <si>
    <t>il numero o la percentuale di distinct values è giusto (64 - 64%) / il metodo è giusto</t>
  </si>
  <si>
    <t>il numero di righe è giusto (100) / il metodo è giusto</t>
  </si>
  <si>
    <t>Nota</t>
  </si>
  <si>
    <t>Diverse rappresentazioni dei null values vengono tutte convertite in nan, di fatto alterando il conto dei distinct values e gli istogrammi. Inoltre, non viene considerato -1 come valore numerico ma "-1" come stringa. Questo invalida quasi tutte le misure statistiche nelle colonne numeriche in cui sono presenti i valori -1.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</si>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</sst>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86" zoomScale="84" workbookViewId="0">
      <selection activeCell="D101" sqref="D101"/>
    </sheetView>
  </sheetViews>
  <sheetFormatPr defaultColWidth="10.6640625" defaultRowHeight="16" x14ac:dyDescent="0.4"/>
  <cols>
    <col min="1" max="1" width="1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103</v>
      </c>
      <c r="C7">
        <v>1</v>
      </c>
    </row>
    <row r="8" spans="1:3" x14ac:dyDescent="0.4">
      <c r="B8" t="s">
        <v>104</v>
      </c>
      <c r="C8">
        <v>1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1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105</v>
      </c>
      <c r="C23">
        <v>1</v>
      </c>
    </row>
    <row r="24" spans="1:3" x14ac:dyDescent="0.4">
      <c r="A24" t="s">
        <v>5</v>
      </c>
      <c r="B24" t="s">
        <v>106</v>
      </c>
      <c r="C24">
        <v>1</v>
      </c>
    </row>
    <row r="25" spans="1:3" x14ac:dyDescent="0.4">
      <c r="A25" t="s">
        <v>5</v>
      </c>
      <c r="B25" t="s">
        <v>45</v>
      </c>
      <c r="C25">
        <v>1</v>
      </c>
    </row>
    <row r="26" spans="1:3" x14ac:dyDescent="0.4">
      <c r="A26" t="s">
        <v>5</v>
      </c>
      <c r="B26" t="s">
        <v>51</v>
      </c>
      <c r="C26">
        <v>1</v>
      </c>
    </row>
    <row r="27" spans="1:3" x14ac:dyDescent="0.4">
      <c r="A27" t="s">
        <v>5</v>
      </c>
      <c r="B27" t="s">
        <v>52</v>
      </c>
      <c r="C27">
        <v>1</v>
      </c>
    </row>
    <row r="28" spans="1:3" x14ac:dyDescent="0.4">
      <c r="A28" t="s">
        <v>5</v>
      </c>
      <c r="B28" t="s">
        <v>53</v>
      </c>
      <c r="C28">
        <v>1</v>
      </c>
    </row>
    <row r="29" spans="1:3" x14ac:dyDescent="0.4">
      <c r="A29" t="s">
        <v>5</v>
      </c>
      <c r="B29" t="s">
        <v>55</v>
      </c>
      <c r="C29">
        <v>1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105</v>
      </c>
      <c r="C34">
        <v>1</v>
      </c>
    </row>
    <row r="35" spans="1:3" x14ac:dyDescent="0.4">
      <c r="A35" t="s">
        <v>6</v>
      </c>
      <c r="B35" t="s">
        <v>106</v>
      </c>
      <c r="C35">
        <v>1</v>
      </c>
    </row>
    <row r="36" spans="1:3" x14ac:dyDescent="0.4">
      <c r="A36" t="s">
        <v>6</v>
      </c>
      <c r="B36" t="s">
        <v>45</v>
      </c>
      <c r="C36">
        <v>1</v>
      </c>
    </row>
    <row r="37" spans="1:3" x14ac:dyDescent="0.4">
      <c r="A37" t="s">
        <v>6</v>
      </c>
      <c r="B37" t="s">
        <v>51</v>
      </c>
      <c r="C37">
        <v>1</v>
      </c>
    </row>
    <row r="38" spans="1:3" x14ac:dyDescent="0.4">
      <c r="A38" t="s">
        <v>6</v>
      </c>
      <c r="B38" t="s">
        <v>52</v>
      </c>
      <c r="C38">
        <v>1</v>
      </c>
    </row>
    <row r="39" spans="1:3" x14ac:dyDescent="0.4">
      <c r="A39" t="s">
        <v>6</v>
      </c>
      <c r="B39" t="s">
        <v>53</v>
      </c>
      <c r="C39">
        <v>1</v>
      </c>
    </row>
    <row r="40" spans="1:3" x14ac:dyDescent="0.4">
      <c r="A40" t="s">
        <v>6</v>
      </c>
      <c r="B40" t="s">
        <v>55</v>
      </c>
      <c r="C40">
        <v>1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105</v>
      </c>
      <c r="C45">
        <v>1</v>
      </c>
    </row>
    <row r="46" spans="1:3" x14ac:dyDescent="0.4">
      <c r="A46" t="s">
        <v>7</v>
      </c>
      <c r="B46" t="s">
        <v>106</v>
      </c>
      <c r="C46">
        <v>1</v>
      </c>
    </row>
    <row r="47" spans="1:3" x14ac:dyDescent="0.4">
      <c r="A47" t="s">
        <v>7</v>
      </c>
      <c r="B47" t="s">
        <v>45</v>
      </c>
      <c r="C47">
        <v>1</v>
      </c>
    </row>
    <row r="48" spans="1:3" x14ac:dyDescent="0.4">
      <c r="A48" t="s">
        <v>7</v>
      </c>
      <c r="B48" t="s">
        <v>51</v>
      </c>
      <c r="C48">
        <v>1</v>
      </c>
    </row>
    <row r="49" spans="1:3" x14ac:dyDescent="0.4">
      <c r="A49" t="s">
        <v>7</v>
      </c>
      <c r="B49" t="s">
        <v>52</v>
      </c>
      <c r="C49">
        <v>1</v>
      </c>
    </row>
    <row r="50" spans="1:3" x14ac:dyDescent="0.4">
      <c r="A50" t="s">
        <v>7</v>
      </c>
      <c r="B50" t="s">
        <v>53</v>
      </c>
      <c r="C50">
        <v>1</v>
      </c>
    </row>
    <row r="51" spans="1:3" x14ac:dyDescent="0.4">
      <c r="A51" t="s">
        <v>7</v>
      </c>
      <c r="B51" t="s">
        <v>55</v>
      </c>
      <c r="C51">
        <v>1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1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105</v>
      </c>
      <c r="C56">
        <v>1</v>
      </c>
    </row>
    <row r="57" spans="1:3" x14ac:dyDescent="0.4">
      <c r="A57" t="s">
        <v>8</v>
      </c>
      <c r="B57" t="s">
        <v>106</v>
      </c>
      <c r="C57">
        <v>1</v>
      </c>
    </row>
    <row r="58" spans="1:3" x14ac:dyDescent="0.4">
      <c r="A58" t="s">
        <v>8</v>
      </c>
      <c r="B58" t="s">
        <v>45</v>
      </c>
      <c r="C58">
        <v>1</v>
      </c>
    </row>
    <row r="59" spans="1:3" x14ac:dyDescent="0.4">
      <c r="A59" t="s">
        <v>8</v>
      </c>
      <c r="B59" t="s">
        <v>51</v>
      </c>
      <c r="C59">
        <v>1</v>
      </c>
    </row>
    <row r="60" spans="1:3" x14ac:dyDescent="0.4">
      <c r="A60" t="s">
        <v>8</v>
      </c>
      <c r="B60" t="s">
        <v>52</v>
      </c>
      <c r="C60">
        <v>1</v>
      </c>
    </row>
    <row r="61" spans="1:3" x14ac:dyDescent="0.4">
      <c r="A61" t="s">
        <v>8</v>
      </c>
      <c r="B61" t="s">
        <v>53</v>
      </c>
      <c r="C61">
        <v>1</v>
      </c>
    </row>
    <row r="62" spans="1:3" x14ac:dyDescent="0.4">
      <c r="A62" t="s">
        <v>8</v>
      </c>
      <c r="B62" t="s">
        <v>55</v>
      </c>
      <c r="C62">
        <v>1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1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1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1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1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1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1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105</v>
      </c>
      <c r="C87">
        <v>1</v>
      </c>
    </row>
    <row r="88" spans="1:3" x14ac:dyDescent="0.4">
      <c r="A88" t="s">
        <v>9</v>
      </c>
      <c r="B88" t="s">
        <v>106</v>
      </c>
      <c r="C88">
        <v>1</v>
      </c>
    </row>
    <row r="89" spans="1:3" x14ac:dyDescent="0.4">
      <c r="A89" t="s">
        <v>9</v>
      </c>
      <c r="B89" t="s">
        <v>45</v>
      </c>
      <c r="C89">
        <v>1</v>
      </c>
    </row>
    <row r="90" spans="1:3" x14ac:dyDescent="0.4">
      <c r="A90" t="s">
        <v>9</v>
      </c>
      <c r="B90" t="s">
        <v>51</v>
      </c>
      <c r="C90">
        <v>1</v>
      </c>
    </row>
    <row r="91" spans="1:3" x14ac:dyDescent="0.4">
      <c r="A91" t="s">
        <v>9</v>
      </c>
      <c r="B91" t="s">
        <v>52</v>
      </c>
      <c r="C91">
        <v>1</v>
      </c>
    </row>
    <row r="92" spans="1:3" x14ac:dyDescent="0.4">
      <c r="A92" t="s">
        <v>9</v>
      </c>
      <c r="B92" t="s">
        <v>53</v>
      </c>
      <c r="C92">
        <v>1</v>
      </c>
    </row>
    <row r="93" spans="1:3" x14ac:dyDescent="0.4">
      <c r="A93" t="s">
        <v>9</v>
      </c>
      <c r="B93" t="s">
        <v>55</v>
      </c>
      <c r="C93">
        <v>1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1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1</v>
      </c>
    </row>
    <row r="101" spans="1:3" x14ac:dyDescent="0.4">
      <c r="A101" s="1" t="s">
        <v>24</v>
      </c>
      <c r="B101">
        <f>SUM(C2:C98)/COUNT(C2:C98)</f>
        <v>0.84536082474226804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3"/>
  <sheetViews>
    <sheetView topLeftCell="A92" zoomScale="90" workbookViewId="0">
      <selection activeCell="B105" sqref="B105"/>
    </sheetView>
  </sheetViews>
  <sheetFormatPr defaultColWidth="10.6640625" defaultRowHeight="16" x14ac:dyDescent="0.4"/>
  <cols>
    <col min="1" max="1" width="6.6640625" customWidth="1"/>
    <col min="2" max="2" width="68.5" customWidth="1"/>
    <col min="3" max="4" width="10.83203125" style="3"/>
    <col min="5" max="5" width="42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Sì</v>
      </c>
      <c r="D2" s="3">
        <v>1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255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235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236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201</v>
      </c>
      <c r="C7" s="3" t="str">
        <f xml:space="preserve"> IF(Completeness!C7=1, "Sì", "No")</f>
        <v>Sì</v>
      </c>
      <c r="D7" s="3">
        <v>0</v>
      </c>
      <c r="E7" t="s">
        <v>108</v>
      </c>
      <c r="F7" t="s">
        <v>202</v>
      </c>
    </row>
    <row r="8" spans="1:10" x14ac:dyDescent="0.4">
      <c r="B8" t="s">
        <v>200</v>
      </c>
      <c r="C8" s="3" t="str">
        <f xml:space="preserve"> IF(Completeness!C8=1, "Sì", "No")</f>
        <v>Sì</v>
      </c>
      <c r="D8" s="3">
        <v>0</v>
      </c>
      <c r="E8" t="s">
        <v>109</v>
      </c>
    </row>
    <row r="9" spans="1:10" x14ac:dyDescent="0.4">
      <c r="A9" t="s">
        <v>3</v>
      </c>
      <c r="B9" t="s">
        <v>237</v>
      </c>
      <c r="C9" s="3" t="str">
        <f xml:space="preserve"> IF(Completeness!C9=1, "Sì", "No")</f>
        <v>Sì</v>
      </c>
      <c r="D9" s="3">
        <v>0</v>
      </c>
      <c r="E9" t="s">
        <v>110</v>
      </c>
    </row>
    <row r="10" spans="1:10" x14ac:dyDescent="0.4">
      <c r="A10" t="s">
        <v>3</v>
      </c>
      <c r="B10" t="s">
        <v>243</v>
      </c>
      <c r="C10" s="3" t="str">
        <f xml:space="preserve"> IF(Completeness!C10=1, "Sì", "No")</f>
        <v>Sì</v>
      </c>
      <c r="D10" s="3">
        <v>1</v>
      </c>
      <c r="E10" t="s">
        <v>111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0</v>
      </c>
      <c r="E11" t="s">
        <v>112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113</v>
      </c>
      <c r="I12" s="4"/>
      <c r="J12" s="3"/>
    </row>
    <row r="13" spans="1:10" x14ac:dyDescent="0.4">
      <c r="A13" t="s">
        <v>3</v>
      </c>
      <c r="B13" t="s">
        <v>107</v>
      </c>
      <c r="C13" s="3" t="str">
        <f xml:space="preserve"> IF(Completeness!C13=1, "Sì", "No")</f>
        <v>No</v>
      </c>
      <c r="D13" s="3">
        <v>0</v>
      </c>
      <c r="E13" t="s">
        <v>114</v>
      </c>
      <c r="I13" s="4"/>
      <c r="J13" s="3"/>
    </row>
    <row r="14" spans="1:10" x14ac:dyDescent="0.4">
      <c r="A14" t="s">
        <v>4</v>
      </c>
      <c r="B14" t="s">
        <v>238</v>
      </c>
      <c r="C14" s="3" t="str">
        <f xml:space="preserve"> IF(Completeness!C14=1, "Sì", "No")</f>
        <v>Sì</v>
      </c>
      <c r="D14" s="3">
        <v>0</v>
      </c>
      <c r="E14" t="s">
        <v>115</v>
      </c>
      <c r="I14" s="4"/>
      <c r="J14" s="3"/>
    </row>
    <row r="15" spans="1:10" x14ac:dyDescent="0.4">
      <c r="A15" t="s">
        <v>4</v>
      </c>
      <c r="B15" t="s">
        <v>244</v>
      </c>
      <c r="C15" s="3" t="str">
        <f xml:space="preserve"> IF(Completeness!C15=1, "Sì", "No")</f>
        <v>Sì</v>
      </c>
      <c r="D15" s="3">
        <v>0</v>
      </c>
      <c r="E15" t="s">
        <v>116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0</v>
      </c>
      <c r="E16" t="s">
        <v>117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118</v>
      </c>
      <c r="I17" s="4"/>
      <c r="J17" s="3"/>
    </row>
    <row r="18" spans="1:10" x14ac:dyDescent="0.4">
      <c r="A18" t="s">
        <v>4</v>
      </c>
      <c r="B18" t="s">
        <v>107</v>
      </c>
      <c r="C18" s="3" t="str">
        <f xml:space="preserve"> IF(Completeness!C18=1, "Sì", "No")</f>
        <v>Sì</v>
      </c>
      <c r="D18" s="3">
        <v>1</v>
      </c>
      <c r="E18" t="s">
        <v>119</v>
      </c>
      <c r="I18" s="4"/>
      <c r="J18" s="3"/>
    </row>
    <row r="19" spans="1:10" x14ac:dyDescent="0.4">
      <c r="A19" t="s">
        <v>5</v>
      </c>
      <c r="B19" t="s">
        <v>239</v>
      </c>
      <c r="C19" s="3" t="str">
        <f xml:space="preserve"> IF(Completeness!C19=1, "Sì", "No")</f>
        <v>Sì</v>
      </c>
      <c r="D19" s="3">
        <v>0</v>
      </c>
      <c r="E19" t="s">
        <v>120</v>
      </c>
      <c r="I19" s="4"/>
      <c r="J19" s="3"/>
    </row>
    <row r="20" spans="1:10" x14ac:dyDescent="0.4">
      <c r="A20" t="s">
        <v>5</v>
      </c>
      <c r="B20" t="s">
        <v>245</v>
      </c>
      <c r="C20" s="3" t="str">
        <f xml:space="preserve"> IF(Completeness!C20=1, "Sì", "No")</f>
        <v>Sì</v>
      </c>
      <c r="D20" s="3">
        <v>0</v>
      </c>
      <c r="E20" t="s">
        <v>121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122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123</v>
      </c>
    </row>
    <row r="23" spans="1:10" x14ac:dyDescent="0.4">
      <c r="A23" t="s">
        <v>5</v>
      </c>
      <c r="B23" t="s">
        <v>214</v>
      </c>
      <c r="C23" s="3" t="str">
        <f xml:space="preserve"> IF(Completeness!C23=1, "Sì", "No")</f>
        <v>Sì</v>
      </c>
      <c r="D23" s="3">
        <v>1</v>
      </c>
      <c r="E23" t="s">
        <v>124</v>
      </c>
    </row>
    <row r="24" spans="1:10" x14ac:dyDescent="0.4">
      <c r="A24" t="s">
        <v>5</v>
      </c>
      <c r="B24" t="s">
        <v>215</v>
      </c>
      <c r="C24" s="3" t="str">
        <f xml:space="preserve"> IF(Completeness!C24=1, "Sì", "No")</f>
        <v>Sì</v>
      </c>
      <c r="D24" s="3">
        <v>1</v>
      </c>
      <c r="E24" t="s">
        <v>125</v>
      </c>
    </row>
    <row r="25" spans="1:10" x14ac:dyDescent="0.4">
      <c r="A25" t="s">
        <v>5</v>
      </c>
      <c r="B25" t="s">
        <v>216</v>
      </c>
      <c r="C25" s="3" t="str">
        <f xml:space="preserve"> IF(Completeness!C25=1, "Sì", "No")</f>
        <v>Sì</v>
      </c>
      <c r="D25" s="3">
        <v>0</v>
      </c>
      <c r="E25" t="s">
        <v>126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Sì</v>
      </c>
      <c r="D26" s="3">
        <v>0</v>
      </c>
      <c r="E26" t="s">
        <v>127</v>
      </c>
    </row>
    <row r="27" spans="1:10" x14ac:dyDescent="0.4">
      <c r="A27" t="s">
        <v>5</v>
      </c>
      <c r="B27" t="s">
        <v>217</v>
      </c>
      <c r="C27" s="3" t="str">
        <f xml:space="preserve"> IF(Completeness!C27=1, "Sì", "No")</f>
        <v>Sì</v>
      </c>
      <c r="D27" s="3">
        <v>0</v>
      </c>
      <c r="E27" t="s">
        <v>128</v>
      </c>
    </row>
    <row r="28" spans="1:10" x14ac:dyDescent="0.4">
      <c r="A28" t="s">
        <v>5</v>
      </c>
      <c r="B28" t="s">
        <v>218</v>
      </c>
      <c r="C28" s="3" t="str">
        <f xml:space="preserve"> IF(Completeness!C28=1, "Sì", "No")</f>
        <v>Sì</v>
      </c>
      <c r="D28" s="3">
        <v>0</v>
      </c>
      <c r="E28" t="s">
        <v>129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Sì</v>
      </c>
      <c r="D29" s="3">
        <v>0</v>
      </c>
      <c r="E29" t="s">
        <v>130</v>
      </c>
      <c r="I29" s="4"/>
      <c r="J29" s="3"/>
    </row>
    <row r="30" spans="1:10" x14ac:dyDescent="0.4">
      <c r="A30" t="s">
        <v>6</v>
      </c>
      <c r="B30" t="s">
        <v>240</v>
      </c>
      <c r="C30" s="3" t="str">
        <f xml:space="preserve"> IF(Completeness!C30=1, "Sì", "No")</f>
        <v>Sì</v>
      </c>
      <c r="D30" s="3">
        <v>0</v>
      </c>
      <c r="E30" t="s">
        <v>131</v>
      </c>
      <c r="I30" s="4"/>
      <c r="J30" s="3"/>
    </row>
    <row r="31" spans="1:10" x14ac:dyDescent="0.4">
      <c r="A31" t="s">
        <v>6</v>
      </c>
      <c r="B31" t="s">
        <v>246</v>
      </c>
      <c r="C31" s="3" t="str">
        <f xml:space="preserve"> IF(Completeness!C31=1, "Sì", "No")</f>
        <v>Sì</v>
      </c>
      <c r="D31" s="3">
        <v>0</v>
      </c>
      <c r="E31" t="s">
        <v>132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133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134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Sì</v>
      </c>
      <c r="D34" s="3">
        <v>1</v>
      </c>
      <c r="E34" t="s">
        <v>135</v>
      </c>
      <c r="I34" s="4"/>
      <c r="J34" s="3"/>
    </row>
    <row r="35" spans="1:10" x14ac:dyDescent="0.4">
      <c r="A35" t="s">
        <v>6</v>
      </c>
      <c r="B35" t="s">
        <v>101</v>
      </c>
      <c r="C35" s="3" t="str">
        <f xml:space="preserve"> IF(Completeness!C35=1, "Sì", "No")</f>
        <v>Sì</v>
      </c>
      <c r="D35" s="3">
        <v>1</v>
      </c>
      <c r="E35" t="s">
        <v>136</v>
      </c>
      <c r="I35" s="4"/>
      <c r="J35" s="3"/>
    </row>
    <row r="36" spans="1:10" x14ac:dyDescent="0.4">
      <c r="A36" t="s">
        <v>6</v>
      </c>
      <c r="B36" t="s">
        <v>219</v>
      </c>
      <c r="C36" s="3" t="str">
        <f xml:space="preserve"> IF(Completeness!C36=1, "Sì", "No")</f>
        <v>Sì</v>
      </c>
      <c r="D36" s="3">
        <v>1</v>
      </c>
      <c r="E36" t="s">
        <v>137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Sì</v>
      </c>
      <c r="D37" s="3">
        <v>1</v>
      </c>
      <c r="E37" t="s">
        <v>138</v>
      </c>
      <c r="I37" s="4"/>
      <c r="J37" s="3"/>
    </row>
    <row r="38" spans="1:10" x14ac:dyDescent="0.4">
      <c r="A38" t="s">
        <v>6</v>
      </c>
      <c r="B38" t="s">
        <v>220</v>
      </c>
      <c r="C38" s="3" t="str">
        <f xml:space="preserve"> IF(Completeness!C38=1, "Sì", "No")</f>
        <v>Sì</v>
      </c>
      <c r="D38" s="3">
        <v>1</v>
      </c>
      <c r="E38" t="s">
        <v>139</v>
      </c>
      <c r="I38" s="4"/>
      <c r="J38" s="3"/>
    </row>
    <row r="39" spans="1:10" x14ac:dyDescent="0.4">
      <c r="A39" t="s">
        <v>6</v>
      </c>
      <c r="B39" t="s">
        <v>221</v>
      </c>
      <c r="C39" s="3" t="str">
        <f xml:space="preserve"> IF(Completeness!C39=1, "Sì", "No")</f>
        <v>Sì</v>
      </c>
      <c r="D39" s="3">
        <v>1</v>
      </c>
      <c r="E39" t="s">
        <v>140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Sì</v>
      </c>
      <c r="D40" s="3">
        <v>0</v>
      </c>
      <c r="E40" t="s">
        <v>141</v>
      </c>
      <c r="I40" s="4"/>
      <c r="J40" s="3"/>
    </row>
    <row r="41" spans="1:10" x14ac:dyDescent="0.4">
      <c r="A41" t="s">
        <v>7</v>
      </c>
      <c r="B41" t="s">
        <v>241</v>
      </c>
      <c r="C41" s="3" t="str">
        <f xml:space="preserve"> IF(Completeness!C41=1, "Sì", "No")</f>
        <v>Sì</v>
      </c>
      <c r="D41" s="3">
        <v>0</v>
      </c>
      <c r="E41" t="s">
        <v>142</v>
      </c>
      <c r="I41" s="4"/>
      <c r="J41" s="3"/>
    </row>
    <row r="42" spans="1:10" x14ac:dyDescent="0.4">
      <c r="A42" t="s">
        <v>7</v>
      </c>
      <c r="B42" t="s">
        <v>247</v>
      </c>
      <c r="C42" s="3" t="str">
        <f xml:space="preserve"> IF(Completeness!C42=1, "Sì", "No")</f>
        <v>Sì</v>
      </c>
      <c r="D42" s="3">
        <v>0</v>
      </c>
      <c r="E42" t="s">
        <v>143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144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145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Sì</v>
      </c>
      <c r="D45" s="3">
        <v>1</v>
      </c>
      <c r="E45" t="s">
        <v>146</v>
      </c>
    </row>
    <row r="46" spans="1:10" x14ac:dyDescent="0.4">
      <c r="A46" t="s">
        <v>7</v>
      </c>
      <c r="B46" t="s">
        <v>102</v>
      </c>
      <c r="C46" s="3" t="str">
        <f xml:space="preserve"> IF(Completeness!C46=1, "Sì", "No")</f>
        <v>Sì</v>
      </c>
      <c r="D46" s="3">
        <v>1</v>
      </c>
      <c r="E46" t="s">
        <v>147</v>
      </c>
    </row>
    <row r="47" spans="1:10" x14ac:dyDescent="0.4">
      <c r="A47" t="s">
        <v>7</v>
      </c>
      <c r="B47" t="s">
        <v>222</v>
      </c>
      <c r="C47" s="3" t="str">
        <f xml:space="preserve"> IF(Completeness!C47=1, "Sì", "No")</f>
        <v>Sì</v>
      </c>
      <c r="D47" s="3">
        <v>1</v>
      </c>
      <c r="E47" t="s">
        <v>148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Sì</v>
      </c>
      <c r="D48" s="3">
        <v>1</v>
      </c>
      <c r="E48" t="s">
        <v>149</v>
      </c>
    </row>
    <row r="49" spans="1:10" x14ac:dyDescent="0.4">
      <c r="A49" t="s">
        <v>7</v>
      </c>
      <c r="B49" t="s">
        <v>223</v>
      </c>
      <c r="C49" s="3" t="str">
        <f xml:space="preserve"> IF(Completeness!C49=1, "Sì", "No")</f>
        <v>Sì</v>
      </c>
      <c r="D49" s="3">
        <v>1</v>
      </c>
      <c r="E49" t="s">
        <v>150</v>
      </c>
    </row>
    <row r="50" spans="1:10" x14ac:dyDescent="0.4">
      <c r="A50" t="s">
        <v>7</v>
      </c>
      <c r="B50" t="s">
        <v>224</v>
      </c>
      <c r="C50" s="3" t="str">
        <f xml:space="preserve"> IF(Completeness!C50=1, "Sì", "No")</f>
        <v>Sì</v>
      </c>
      <c r="D50" s="3">
        <v>1</v>
      </c>
      <c r="E50" t="s">
        <v>151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Sì</v>
      </c>
      <c r="D51" s="3">
        <v>0</v>
      </c>
      <c r="E51" t="s">
        <v>152</v>
      </c>
    </row>
    <row r="52" spans="1:10" x14ac:dyDescent="0.4">
      <c r="A52" t="s">
        <v>8</v>
      </c>
      <c r="B52" t="s">
        <v>238</v>
      </c>
      <c r="C52" s="3" t="str">
        <f xml:space="preserve"> IF(Completeness!C52=1, "Sì", "No")</f>
        <v>Sì</v>
      </c>
      <c r="D52" s="3">
        <v>0</v>
      </c>
      <c r="E52" t="s">
        <v>153</v>
      </c>
    </row>
    <row r="53" spans="1:10" x14ac:dyDescent="0.4">
      <c r="A53" t="s">
        <v>8</v>
      </c>
      <c r="B53" t="s">
        <v>248</v>
      </c>
      <c r="C53" s="3" t="str">
        <f xml:space="preserve"> IF(Completeness!C53=1, "Sì", "No")</f>
        <v>Sì</v>
      </c>
      <c r="D53" s="3">
        <v>1</v>
      </c>
      <c r="E53" t="s">
        <v>154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155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156</v>
      </c>
      <c r="I55" s="4"/>
      <c r="J55" s="3"/>
    </row>
    <row r="56" spans="1:10" x14ac:dyDescent="0.4">
      <c r="A56" t="s">
        <v>8</v>
      </c>
      <c r="B56" t="s">
        <v>225</v>
      </c>
      <c r="C56" s="3" t="str">
        <f xml:space="preserve"> IF(Completeness!C56=1, "Sì", "No")</f>
        <v>Sì</v>
      </c>
      <c r="D56" s="3">
        <v>0</v>
      </c>
      <c r="E56" t="s">
        <v>157</v>
      </c>
      <c r="I56" s="4"/>
      <c r="J56" s="3"/>
    </row>
    <row r="57" spans="1:10" x14ac:dyDescent="0.4">
      <c r="A57" t="s">
        <v>8</v>
      </c>
      <c r="B57" t="s">
        <v>226</v>
      </c>
      <c r="C57" s="3" t="str">
        <f xml:space="preserve"> IF(Completeness!C57=1, "Sì", "No")</f>
        <v>Sì</v>
      </c>
      <c r="D57" s="3">
        <v>1</v>
      </c>
      <c r="E57" t="s">
        <v>158</v>
      </c>
      <c r="I57" s="4"/>
      <c r="J57" s="3"/>
    </row>
    <row r="58" spans="1:10" x14ac:dyDescent="0.4">
      <c r="A58" t="s">
        <v>8</v>
      </c>
      <c r="B58" t="s">
        <v>227</v>
      </c>
      <c r="C58" s="3" t="str">
        <f xml:space="preserve"> IF(Completeness!C58=1, "Sì", "No")</f>
        <v>Sì</v>
      </c>
      <c r="D58" s="3">
        <v>0</v>
      </c>
      <c r="E58" t="s">
        <v>159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Sì</v>
      </c>
      <c r="D59" s="3">
        <v>0</v>
      </c>
      <c r="E59" t="s">
        <v>160</v>
      </c>
    </row>
    <row r="60" spans="1:10" x14ac:dyDescent="0.4">
      <c r="A60" t="s">
        <v>8</v>
      </c>
      <c r="B60" t="s">
        <v>228</v>
      </c>
      <c r="C60" s="3" t="str">
        <f xml:space="preserve"> IF(Completeness!C60=1, "Sì", "No")</f>
        <v>Sì</v>
      </c>
      <c r="D60" s="3">
        <v>0</v>
      </c>
      <c r="E60" t="s">
        <v>161</v>
      </c>
    </row>
    <row r="61" spans="1:10" x14ac:dyDescent="0.4">
      <c r="A61" t="s">
        <v>8</v>
      </c>
      <c r="B61" t="s">
        <v>229</v>
      </c>
      <c r="C61" s="3" t="str">
        <f xml:space="preserve"> IF(Completeness!C61=1, "Sì", "No")</f>
        <v>Sì</v>
      </c>
      <c r="D61" s="3">
        <v>0</v>
      </c>
      <c r="E61" t="s">
        <v>162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Sì</v>
      </c>
      <c r="D62" s="3">
        <v>0</v>
      </c>
      <c r="E62" t="s">
        <v>163</v>
      </c>
      <c r="I62" s="4"/>
      <c r="J62" s="3"/>
    </row>
    <row r="63" spans="1:10" x14ac:dyDescent="0.4">
      <c r="A63" t="s">
        <v>13</v>
      </c>
      <c r="B63" t="s">
        <v>238</v>
      </c>
      <c r="C63" s="3" t="str">
        <f xml:space="preserve"> IF(Completeness!C63=1, "Sì", "No")</f>
        <v>Sì</v>
      </c>
      <c r="D63" s="3">
        <v>0</v>
      </c>
      <c r="E63" t="s">
        <v>164</v>
      </c>
      <c r="I63" s="4"/>
      <c r="J63" s="3"/>
    </row>
    <row r="64" spans="1:10" x14ac:dyDescent="0.4">
      <c r="A64" t="s">
        <v>13</v>
      </c>
      <c r="B64" t="s">
        <v>249</v>
      </c>
      <c r="C64" s="3" t="str">
        <f xml:space="preserve"> IF(Completeness!C64=1, "Sì", "No")</f>
        <v>Sì</v>
      </c>
      <c r="D64" s="3">
        <v>0</v>
      </c>
      <c r="E64" t="s">
        <v>165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166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167</v>
      </c>
    </row>
    <row r="67" spans="1:10" x14ac:dyDescent="0.4">
      <c r="A67" t="s">
        <v>13</v>
      </c>
      <c r="B67" t="s">
        <v>107</v>
      </c>
      <c r="C67" s="3" t="str">
        <f xml:space="preserve"> IF(Completeness!C67=1, "Sì", "No")</f>
        <v>Sì</v>
      </c>
      <c r="D67" s="3">
        <v>1</v>
      </c>
      <c r="E67" t="s">
        <v>168</v>
      </c>
    </row>
    <row r="68" spans="1:10" x14ac:dyDescent="0.4">
      <c r="A68" t="s">
        <v>10</v>
      </c>
      <c r="B68" t="s">
        <v>237</v>
      </c>
      <c r="C68" s="3" t="str">
        <f xml:space="preserve"> IF(Completeness!C68=1, "Sì", "No")</f>
        <v>Sì</v>
      </c>
      <c r="D68" s="3">
        <v>0</v>
      </c>
      <c r="E68" t="s">
        <v>169</v>
      </c>
    </row>
    <row r="69" spans="1:10" x14ac:dyDescent="0.4">
      <c r="A69" t="s">
        <v>10</v>
      </c>
      <c r="B69" t="s">
        <v>250</v>
      </c>
      <c r="C69" s="3" t="str">
        <f xml:space="preserve"> IF(Completeness!C69=1, "Sì", "No")</f>
        <v>Sì</v>
      </c>
      <c r="D69" s="3">
        <v>0</v>
      </c>
      <c r="E69" t="s">
        <v>170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171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172</v>
      </c>
    </row>
    <row r="72" spans="1:10" x14ac:dyDescent="0.4">
      <c r="A72" t="s">
        <v>10</v>
      </c>
      <c r="B72" t="s">
        <v>107</v>
      </c>
      <c r="C72" s="3" t="str">
        <f xml:space="preserve"> IF(Completeness!C72=1, "Sì", "No")</f>
        <v>Sì</v>
      </c>
      <c r="D72" s="3">
        <v>1</v>
      </c>
      <c r="E72" t="s">
        <v>173</v>
      </c>
    </row>
    <row r="73" spans="1:10" x14ac:dyDescent="0.4">
      <c r="A73" t="s">
        <v>11</v>
      </c>
      <c r="B73" t="s">
        <v>238</v>
      </c>
      <c r="C73" s="3" t="str">
        <f xml:space="preserve"> IF(Completeness!C73=1, "Sì", "No")</f>
        <v>Sì</v>
      </c>
      <c r="D73" s="3">
        <v>0</v>
      </c>
      <c r="E73" t="s">
        <v>174</v>
      </c>
    </row>
    <row r="74" spans="1:10" x14ac:dyDescent="0.4">
      <c r="A74" t="s">
        <v>11</v>
      </c>
      <c r="B74" t="s">
        <v>251</v>
      </c>
      <c r="C74" s="3" t="str">
        <f xml:space="preserve"> IF(Completeness!C74=1, "Sì", "No")</f>
        <v>Sì</v>
      </c>
      <c r="D74" s="3">
        <v>0</v>
      </c>
      <c r="E74" t="s">
        <v>175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0</v>
      </c>
      <c r="E75" t="s">
        <v>176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177</v>
      </c>
    </row>
    <row r="77" spans="1:10" x14ac:dyDescent="0.4">
      <c r="A77" t="s">
        <v>11</v>
      </c>
      <c r="B77" t="s">
        <v>107</v>
      </c>
      <c r="C77" s="3" t="str">
        <f xml:space="preserve"> IF(Completeness!C77=1, "Sì", "No")</f>
        <v>Sì</v>
      </c>
      <c r="D77" s="3">
        <v>1</v>
      </c>
      <c r="E77" t="s">
        <v>178</v>
      </c>
    </row>
    <row r="78" spans="1:10" x14ac:dyDescent="0.4">
      <c r="A78" t="s">
        <v>12</v>
      </c>
      <c r="B78" t="s">
        <v>237</v>
      </c>
      <c r="C78" s="3" t="str">
        <f xml:space="preserve"> IF(Completeness!C78=1, "Sì", "No")</f>
        <v>Sì</v>
      </c>
      <c r="D78" s="3">
        <v>0</v>
      </c>
      <c r="E78" t="s">
        <v>179</v>
      </c>
    </row>
    <row r="79" spans="1:10" x14ac:dyDescent="0.4">
      <c r="A79" t="s">
        <v>12</v>
      </c>
      <c r="B79" t="s">
        <v>252</v>
      </c>
      <c r="C79" s="3" t="str">
        <f xml:space="preserve"> IF(Completeness!C79=1, "Sì", "No")</f>
        <v>Sì</v>
      </c>
      <c r="D79" s="3">
        <v>0</v>
      </c>
      <c r="E79" t="s">
        <v>180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0</v>
      </c>
      <c r="E80" t="s">
        <v>181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182</v>
      </c>
    </row>
    <row r="82" spans="1:5" x14ac:dyDescent="0.4">
      <c r="A82" t="s">
        <v>12</v>
      </c>
      <c r="B82" t="s">
        <v>107</v>
      </c>
      <c r="C82" s="3" t="str">
        <f xml:space="preserve"> IF(Completeness!C82=1, "Sì", "No")</f>
        <v>Sì</v>
      </c>
      <c r="D82" s="3">
        <v>1</v>
      </c>
      <c r="E82" t="s">
        <v>183</v>
      </c>
    </row>
    <row r="83" spans="1:5" x14ac:dyDescent="0.4">
      <c r="A83" t="s">
        <v>9</v>
      </c>
      <c r="B83" t="s">
        <v>242</v>
      </c>
      <c r="C83" s="3" t="str">
        <f xml:space="preserve"> IF(Completeness!C83=1, "Sì", "No")</f>
        <v>Sì</v>
      </c>
      <c r="D83" s="3">
        <v>0</v>
      </c>
      <c r="E83" t="s">
        <v>184</v>
      </c>
    </row>
    <row r="84" spans="1:5" x14ac:dyDescent="0.4">
      <c r="A84" t="s">
        <v>9</v>
      </c>
      <c r="B84" t="s">
        <v>253</v>
      </c>
      <c r="C84" s="3" t="str">
        <f xml:space="preserve"> IF(Completeness!C84=1, "Sì", "No")</f>
        <v>Sì</v>
      </c>
      <c r="D84" s="3">
        <v>1</v>
      </c>
      <c r="E84" t="s">
        <v>185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186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187</v>
      </c>
    </row>
    <row r="87" spans="1:5" x14ac:dyDescent="0.4">
      <c r="A87" t="s">
        <v>9</v>
      </c>
      <c r="B87" t="s">
        <v>230</v>
      </c>
      <c r="C87" s="3" t="str">
        <f xml:space="preserve"> IF(Completeness!C87=1, "Sì", "No")</f>
        <v>Sì</v>
      </c>
      <c r="D87" s="3">
        <v>0</v>
      </c>
      <c r="E87" t="s">
        <v>188</v>
      </c>
    </row>
    <row r="88" spans="1:5" x14ac:dyDescent="0.4">
      <c r="A88" t="s">
        <v>9</v>
      </c>
      <c r="B88" t="s">
        <v>231</v>
      </c>
      <c r="C88" s="3" t="str">
        <f xml:space="preserve"> IF(Completeness!C88=1, "Sì", "No")</f>
        <v>Sì</v>
      </c>
      <c r="D88" s="3">
        <v>1</v>
      </c>
      <c r="E88" t="s">
        <v>189</v>
      </c>
    </row>
    <row r="89" spans="1:5" x14ac:dyDescent="0.4">
      <c r="A89" t="s">
        <v>9</v>
      </c>
      <c r="B89" t="s">
        <v>232</v>
      </c>
      <c r="C89" s="3" t="str">
        <f xml:space="preserve"> IF(Completeness!C89=1, "Sì", "No")</f>
        <v>Sì</v>
      </c>
      <c r="D89" s="3">
        <v>0</v>
      </c>
      <c r="E89" t="s">
        <v>190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Sì</v>
      </c>
      <c r="D90" s="3">
        <v>0</v>
      </c>
      <c r="E90" t="s">
        <v>191</v>
      </c>
    </row>
    <row r="91" spans="1:5" x14ac:dyDescent="0.4">
      <c r="A91" t="s">
        <v>9</v>
      </c>
      <c r="B91" t="s">
        <v>233</v>
      </c>
      <c r="C91" s="3" t="str">
        <f xml:space="preserve"> IF(Completeness!C91=1, "Sì", "No")</f>
        <v>Sì</v>
      </c>
      <c r="D91" s="3">
        <v>0</v>
      </c>
      <c r="E91" t="s">
        <v>192</v>
      </c>
    </row>
    <row r="92" spans="1:5" x14ac:dyDescent="0.4">
      <c r="A92" t="s">
        <v>9</v>
      </c>
      <c r="B92" t="s">
        <v>234</v>
      </c>
      <c r="C92" s="3" t="str">
        <f xml:space="preserve"> IF(Completeness!C92=1, "Sì", "No")</f>
        <v>Sì</v>
      </c>
      <c r="D92" s="3">
        <v>0</v>
      </c>
      <c r="E92" t="s">
        <v>193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Sì</v>
      </c>
      <c r="D93" s="3">
        <v>0</v>
      </c>
      <c r="E93" t="s">
        <v>194</v>
      </c>
    </row>
    <row r="94" spans="1:5" x14ac:dyDescent="0.4">
      <c r="A94" t="s">
        <v>14</v>
      </c>
      <c r="B94" t="s">
        <v>238</v>
      </c>
      <c r="C94" s="3" t="str">
        <f xml:space="preserve"> IF(Completeness!C94=1, "Sì", "No")</f>
        <v>Sì</v>
      </c>
      <c r="D94" s="3">
        <v>0</v>
      </c>
      <c r="E94" t="s">
        <v>195</v>
      </c>
    </row>
    <row r="95" spans="1:5" x14ac:dyDescent="0.4">
      <c r="A95" t="s">
        <v>14</v>
      </c>
      <c r="B95" t="s">
        <v>254</v>
      </c>
      <c r="C95" s="3" t="str">
        <f xml:space="preserve"> IF(Completeness!C95=1, "Sì", "No")</f>
        <v>Sì</v>
      </c>
      <c r="D95" s="3">
        <v>0</v>
      </c>
      <c r="E95" t="s">
        <v>196</v>
      </c>
    </row>
    <row r="96" spans="1:5" x14ac:dyDescent="0.4">
      <c r="A96" t="s">
        <v>14</v>
      </c>
      <c r="B96" t="s">
        <v>69</v>
      </c>
      <c r="C96" s="3" t="str">
        <f xml:space="preserve"> IF(Completeness!C96=1, "Sì", "No")</f>
        <v>Sì</v>
      </c>
      <c r="D96" s="3">
        <v>0</v>
      </c>
      <c r="E96" t="s">
        <v>197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198</v>
      </c>
    </row>
    <row r="98" spans="1:5" x14ac:dyDescent="0.4">
      <c r="A98" t="s">
        <v>14</v>
      </c>
      <c r="B98" t="s">
        <v>107</v>
      </c>
      <c r="C98" s="3" t="str">
        <f xml:space="preserve"> IF(Completeness!C98=1, "Sì", "No")</f>
        <v>Sì</v>
      </c>
      <c r="D98" s="3">
        <v>1</v>
      </c>
      <c r="E98" t="s">
        <v>199</v>
      </c>
    </row>
    <row r="101" spans="1:5" x14ac:dyDescent="0.4">
      <c r="A101" s="1" t="s">
        <v>43</v>
      </c>
      <c r="B101">
        <f>SUM(D2:D98)/COUNTIF(C2:C98, "Sì")</f>
        <v>0.42682926829268292</v>
      </c>
    </row>
    <row r="103" spans="1:5" x14ac:dyDescent="0.4">
      <c r="A103" t="s">
        <v>256</v>
      </c>
      <c r="B103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56" zoomScale="98" workbookViewId="0">
      <selection activeCell="D170" sqref="D170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70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71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72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75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73</v>
      </c>
      <c r="C6" s="3" t="str">
        <f>IF(Completeness!C5=1, "Sì", "No")</f>
        <v>No</v>
      </c>
      <c r="D6" s="3">
        <v>0</v>
      </c>
      <c r="E6" s="2" t="s">
        <v>29</v>
      </c>
      <c r="J6" s="6" t="str">
        <f t="shared" si="0"/>
        <v>Pari</v>
      </c>
    </row>
    <row r="7" spans="1:10" x14ac:dyDescent="0.4">
      <c r="B7" t="s">
        <v>76</v>
      </c>
      <c r="C7" s="3" t="str">
        <f>IF(Completeness!C5=1, "Sì", "No")</f>
        <v>No</v>
      </c>
      <c r="D7" s="3">
        <v>0</v>
      </c>
      <c r="E7" s="2" t="s">
        <v>29</v>
      </c>
      <c r="J7" s="6" t="str">
        <f t="shared" si="0"/>
        <v>Dispari</v>
      </c>
    </row>
    <row r="8" spans="1:10" x14ac:dyDescent="0.4">
      <c r="B8" t="s">
        <v>74</v>
      </c>
      <c r="C8" s="3" t="str">
        <f>IF(Completeness!C6=1, "Sì", "No")</f>
        <v>No</v>
      </c>
      <c r="D8" s="3">
        <v>0</v>
      </c>
      <c r="E8" s="2" t="s">
        <v>30</v>
      </c>
      <c r="J8" s="6" t="str">
        <f t="shared" si="0"/>
        <v>Pari</v>
      </c>
    </row>
    <row r="9" spans="1:10" x14ac:dyDescent="0.4">
      <c r="B9" t="s">
        <v>77</v>
      </c>
      <c r="C9" s="3" t="str">
        <f>IF(Completeness!C6=1, "Sì", "No")</f>
        <v>No</v>
      </c>
      <c r="D9" s="3">
        <v>0</v>
      </c>
      <c r="E9" s="2" t="s">
        <v>30</v>
      </c>
      <c r="J9" s="6" t="str">
        <f t="shared" si="0"/>
        <v>Dispari</v>
      </c>
    </row>
    <row r="10" spans="1:10" x14ac:dyDescent="0.4">
      <c r="B10" t="s">
        <v>206</v>
      </c>
      <c r="C10" s="3" t="str">
        <f>IF(Completeness!C7=1, "Sì", "No")</f>
        <v>Sì</v>
      </c>
      <c r="D10" s="3">
        <v>1</v>
      </c>
      <c r="E10" s="2" t="s">
        <v>108</v>
      </c>
      <c r="J10" s="6" t="str">
        <f t="shared" si="0"/>
        <v>Pari</v>
      </c>
    </row>
    <row r="11" spans="1:10" x14ac:dyDescent="0.4">
      <c r="B11" t="s">
        <v>207</v>
      </c>
      <c r="C11" s="3" t="str">
        <f>IF(Completeness!C7=1, "Sì", "No")</f>
        <v>Sì</v>
      </c>
      <c r="D11" s="3">
        <v>1</v>
      </c>
      <c r="E11" s="2" t="s">
        <v>108</v>
      </c>
      <c r="J11" s="6" t="str">
        <f t="shared" si="0"/>
        <v>Dispari</v>
      </c>
    </row>
    <row r="12" spans="1:10" x14ac:dyDescent="0.4">
      <c r="B12" t="s">
        <v>208</v>
      </c>
      <c r="C12" s="3" t="str">
        <f>IF(Completeness!C8=1, "Sì", "No")</f>
        <v>Sì</v>
      </c>
      <c r="D12" s="3">
        <v>1</v>
      </c>
      <c r="E12" s="2" t="s">
        <v>109</v>
      </c>
      <c r="J12" s="6" t="str">
        <f t="shared" si="0"/>
        <v>Pari</v>
      </c>
    </row>
    <row r="13" spans="1:10" x14ac:dyDescent="0.4">
      <c r="B13" t="s">
        <v>209</v>
      </c>
      <c r="C13" s="3" t="str">
        <f>IF(Completeness!C8=1, "Sì", "No")</f>
        <v>Sì</v>
      </c>
      <c r="D13" s="3">
        <v>1</v>
      </c>
      <c r="E13" s="2" t="s">
        <v>109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1</v>
      </c>
      <c r="E14" s="2" t="s">
        <v>110</v>
      </c>
      <c r="J14" s="6" t="str">
        <f t="shared" si="0"/>
        <v>Pari</v>
      </c>
    </row>
    <row r="15" spans="1:10" x14ac:dyDescent="0.4">
      <c r="A15" t="s">
        <v>3</v>
      </c>
      <c r="B15" t="s">
        <v>78</v>
      </c>
      <c r="C15" s="3" t="str">
        <f>IF(Completeness!C9=1, "Sì", "No")</f>
        <v>Sì</v>
      </c>
      <c r="D15" s="3">
        <v>0</v>
      </c>
      <c r="E15" s="2" t="s">
        <v>110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Sì</v>
      </c>
      <c r="D16" s="3">
        <v>1</v>
      </c>
      <c r="E16" s="2" t="s">
        <v>111</v>
      </c>
      <c r="J16" s="6" t="str">
        <f t="shared" si="0"/>
        <v>Pari</v>
      </c>
    </row>
    <row r="17" spans="1:10" x14ac:dyDescent="0.4">
      <c r="A17" t="s">
        <v>3</v>
      </c>
      <c r="B17" t="s">
        <v>79</v>
      </c>
      <c r="C17" s="3" t="str">
        <f>IF(Completeness!C10=1, "Sì", "No")</f>
        <v>Sì</v>
      </c>
      <c r="D17" s="3">
        <v>1</v>
      </c>
      <c r="E17" s="2" t="s">
        <v>111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0</v>
      </c>
      <c r="E18" s="2" t="s">
        <v>112</v>
      </c>
      <c r="J18" s="6" t="str">
        <f t="shared" si="0"/>
        <v>Pari</v>
      </c>
    </row>
    <row r="19" spans="1:10" x14ac:dyDescent="0.4">
      <c r="A19" t="s">
        <v>3</v>
      </c>
      <c r="B19" t="s">
        <v>80</v>
      </c>
      <c r="C19" s="3" t="str">
        <f>IF(Completeness!C11=1, "Sì", "No")</f>
        <v>Sì</v>
      </c>
      <c r="D19" s="3">
        <v>1</v>
      </c>
      <c r="E19" s="2" t="s">
        <v>112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s="2" t="s">
        <v>114</v>
      </c>
      <c r="J20" s="6" t="str">
        <f t="shared" si="0"/>
        <v>Pari</v>
      </c>
    </row>
    <row r="21" spans="1:10" x14ac:dyDescent="0.4">
      <c r="A21" t="s">
        <v>3</v>
      </c>
      <c r="B21" t="s">
        <v>81</v>
      </c>
      <c r="C21" s="3" t="str">
        <f>IF(Completeness!C13=1, "Sì", "No")</f>
        <v>No</v>
      </c>
      <c r="D21" s="3">
        <v>0</v>
      </c>
      <c r="E21" s="2" t="s">
        <v>114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1</v>
      </c>
      <c r="E22" s="2" t="s">
        <v>115</v>
      </c>
      <c r="J22" s="6" t="str">
        <f t="shared" si="0"/>
        <v>Pari</v>
      </c>
    </row>
    <row r="23" spans="1:10" x14ac:dyDescent="0.4">
      <c r="A23" t="s">
        <v>4</v>
      </c>
      <c r="B23" t="s">
        <v>82</v>
      </c>
      <c r="C23" s="3" t="str">
        <f>IF(Completeness!C14=1, "Sì", "No")</f>
        <v>Sì</v>
      </c>
      <c r="D23" s="3">
        <v>0</v>
      </c>
      <c r="E23" s="2" t="s">
        <v>115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1</v>
      </c>
      <c r="E24" s="2" t="s">
        <v>116</v>
      </c>
      <c r="J24" s="6" t="str">
        <f t="shared" si="0"/>
        <v>Pari</v>
      </c>
    </row>
    <row r="25" spans="1:10" x14ac:dyDescent="0.4">
      <c r="A25" t="s">
        <v>4</v>
      </c>
      <c r="B25" t="s">
        <v>79</v>
      </c>
      <c r="C25" s="3" t="str">
        <f>IF(Completeness!C15=1, "Sì", "No")</f>
        <v>Sì</v>
      </c>
      <c r="D25" s="3">
        <v>0</v>
      </c>
      <c r="E25" s="2" t="s">
        <v>116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s="2" t="s">
        <v>117</v>
      </c>
      <c r="J26" s="6" t="str">
        <f t="shared" si="0"/>
        <v>Pari</v>
      </c>
    </row>
    <row r="27" spans="1:10" x14ac:dyDescent="0.4">
      <c r="A27" t="s">
        <v>4</v>
      </c>
      <c r="B27" t="s">
        <v>83</v>
      </c>
      <c r="C27" s="3" t="str">
        <f>IF(Completeness!C16=1, "Sì", "No")</f>
        <v>Sì</v>
      </c>
      <c r="D27" s="3">
        <v>0</v>
      </c>
      <c r="E27" s="2" t="s">
        <v>117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Sì</v>
      </c>
      <c r="D28" s="3">
        <v>1</v>
      </c>
      <c r="E28" s="2" t="s">
        <v>119</v>
      </c>
      <c r="J28" s="6" t="str">
        <f t="shared" si="0"/>
        <v>Pari</v>
      </c>
    </row>
    <row r="29" spans="1:10" x14ac:dyDescent="0.4">
      <c r="A29" t="s">
        <v>4</v>
      </c>
      <c r="B29" t="s">
        <v>81</v>
      </c>
      <c r="C29" s="3" t="str">
        <f>IF(Completeness!C18=1, "Sì", "No")</f>
        <v>Sì</v>
      </c>
      <c r="D29" s="3">
        <v>0</v>
      </c>
      <c r="E29" s="2" t="s">
        <v>119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1</v>
      </c>
      <c r="E30" s="2" t="s">
        <v>120</v>
      </c>
      <c r="J30" s="6" t="str">
        <f t="shared" si="0"/>
        <v>Pari</v>
      </c>
    </row>
    <row r="31" spans="1:10" x14ac:dyDescent="0.4">
      <c r="A31" t="s">
        <v>5</v>
      </c>
      <c r="B31" t="s">
        <v>78</v>
      </c>
      <c r="C31" s="3" t="str">
        <f>IF(Completeness!C19=1, "Sì", "No")</f>
        <v>Sì</v>
      </c>
      <c r="D31" s="3">
        <v>0</v>
      </c>
      <c r="E31" s="2" t="s">
        <v>120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Sì</v>
      </c>
      <c r="D32" s="3">
        <v>1</v>
      </c>
      <c r="E32" s="2" t="s">
        <v>121</v>
      </c>
      <c r="J32" s="6" t="str">
        <f t="shared" si="0"/>
        <v>Pari</v>
      </c>
    </row>
    <row r="33" spans="1:10" x14ac:dyDescent="0.4">
      <c r="A33" t="s">
        <v>5</v>
      </c>
      <c r="B33" t="s">
        <v>84</v>
      </c>
      <c r="C33" s="3" t="str">
        <f>IF(Completeness!C20=1, "Sì", "No")</f>
        <v>Sì</v>
      </c>
      <c r="D33" s="3">
        <v>0</v>
      </c>
      <c r="E33" s="2" t="s">
        <v>121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s="2" t="s">
        <v>122</v>
      </c>
      <c r="J34" s="6" t="str">
        <f t="shared" si="0"/>
        <v>Pari</v>
      </c>
    </row>
    <row r="35" spans="1:10" x14ac:dyDescent="0.4">
      <c r="A35" t="s">
        <v>5</v>
      </c>
      <c r="B35" t="s">
        <v>83</v>
      </c>
      <c r="C35" s="3" t="str">
        <f>IF(Completeness!C21=1, "Sì", "No")</f>
        <v>Sì</v>
      </c>
      <c r="D35" s="3">
        <v>0</v>
      </c>
      <c r="E35" s="2" t="s">
        <v>122</v>
      </c>
      <c r="J35" s="6" t="str">
        <f t="shared" si="0"/>
        <v>Dispari</v>
      </c>
    </row>
    <row r="36" spans="1:10" x14ac:dyDescent="0.4">
      <c r="A36" t="s">
        <v>5</v>
      </c>
      <c r="B36" t="s">
        <v>85</v>
      </c>
      <c r="C36" s="3" t="str">
        <f>IF(Completeness!C23=1, "Sì", "No")</f>
        <v>Sì</v>
      </c>
      <c r="D36" s="3">
        <v>1</v>
      </c>
      <c r="E36" s="2" t="s">
        <v>203</v>
      </c>
      <c r="J36" s="6" t="str">
        <f t="shared" si="0"/>
        <v>Pari</v>
      </c>
    </row>
    <row r="37" spans="1:10" x14ac:dyDescent="0.4">
      <c r="A37" t="s">
        <v>5</v>
      </c>
      <c r="B37" t="s">
        <v>86</v>
      </c>
      <c r="C37" s="3" t="str">
        <f>IF(Completeness!C23=1, "Sì", "No")</f>
        <v>Sì</v>
      </c>
      <c r="D37" s="3">
        <v>0</v>
      </c>
      <c r="E37" s="2" t="s">
        <v>203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Sì</v>
      </c>
      <c r="D38" s="3">
        <v>1</v>
      </c>
      <c r="E38" s="2" t="s">
        <v>204</v>
      </c>
      <c r="J38" s="6" t="str">
        <f t="shared" si="0"/>
        <v>Pari</v>
      </c>
    </row>
    <row r="39" spans="1:10" x14ac:dyDescent="0.4">
      <c r="A39" t="s">
        <v>5</v>
      </c>
      <c r="B39" t="s">
        <v>87</v>
      </c>
      <c r="C39" s="3" t="str">
        <f>IF(Completeness!C24=1, "Sì", "No")</f>
        <v>Sì</v>
      </c>
      <c r="D39" s="3">
        <v>0</v>
      </c>
      <c r="E39" s="2" t="s">
        <v>204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Sì</v>
      </c>
      <c r="D40" s="3">
        <v>1</v>
      </c>
      <c r="E40" s="2" t="s">
        <v>126</v>
      </c>
      <c r="J40" s="6" t="str">
        <f t="shared" si="0"/>
        <v>Pari</v>
      </c>
    </row>
    <row r="41" spans="1:10" x14ac:dyDescent="0.4">
      <c r="A41" t="s">
        <v>5</v>
      </c>
      <c r="B41" t="s">
        <v>88</v>
      </c>
      <c r="C41" s="3" t="str">
        <f>IF(Completeness!C25=1, "Sì", "No")</f>
        <v>Sì</v>
      </c>
      <c r="D41" s="3">
        <v>0</v>
      </c>
      <c r="E41" s="2" t="s">
        <v>126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Sì</v>
      </c>
      <c r="D42" s="3">
        <v>1</v>
      </c>
      <c r="E42" s="2" t="s">
        <v>127</v>
      </c>
      <c r="J42" s="6" t="str">
        <f t="shared" si="0"/>
        <v>Pari</v>
      </c>
    </row>
    <row r="43" spans="1:10" x14ac:dyDescent="0.4">
      <c r="A43" t="s">
        <v>5</v>
      </c>
      <c r="B43" t="s">
        <v>90</v>
      </c>
      <c r="C43" s="3" t="str">
        <f>IF(Completeness!C26=1, "Sì", "No")</f>
        <v>Sì</v>
      </c>
      <c r="D43" s="3">
        <v>0</v>
      </c>
      <c r="E43" s="2" t="s">
        <v>127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Sì</v>
      </c>
      <c r="D44" s="3">
        <v>1</v>
      </c>
      <c r="E44" s="2" t="s">
        <v>128</v>
      </c>
      <c r="J44" s="6" t="str">
        <f t="shared" si="0"/>
        <v>Pari</v>
      </c>
    </row>
    <row r="45" spans="1:10" x14ac:dyDescent="0.4">
      <c r="A45" t="s">
        <v>5</v>
      </c>
      <c r="B45" t="s">
        <v>89</v>
      </c>
      <c r="C45" s="3" t="str">
        <f>IF(Completeness!C27=1, "Sì", "No")</f>
        <v>Sì</v>
      </c>
      <c r="D45" s="3">
        <v>0</v>
      </c>
      <c r="E45" s="2" t="s">
        <v>128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Sì</v>
      </c>
      <c r="D46" s="3">
        <v>1</v>
      </c>
      <c r="E46" s="2" t="s">
        <v>129</v>
      </c>
      <c r="J46" s="6" t="str">
        <f t="shared" si="0"/>
        <v>Pari</v>
      </c>
    </row>
    <row r="47" spans="1:10" x14ac:dyDescent="0.4">
      <c r="A47" t="s">
        <v>5</v>
      </c>
      <c r="B47" t="s">
        <v>91</v>
      </c>
      <c r="C47" s="3" t="str">
        <f>IF(Completeness!C28=1, "Sì", "No")</f>
        <v>Sì</v>
      </c>
      <c r="D47" s="3">
        <v>0</v>
      </c>
      <c r="E47" s="2" t="s">
        <v>129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Sì</v>
      </c>
      <c r="D48" s="3">
        <v>1</v>
      </c>
      <c r="E48" s="2" t="s">
        <v>130</v>
      </c>
      <c r="J48" s="6" t="str">
        <f t="shared" si="0"/>
        <v>Pari</v>
      </c>
    </row>
    <row r="49" spans="1:10" x14ac:dyDescent="0.4">
      <c r="A49" t="s">
        <v>5</v>
      </c>
      <c r="B49" t="s">
        <v>92</v>
      </c>
      <c r="C49" s="3" t="str">
        <f>IF(Completeness!C29=1, "Sì", "No")</f>
        <v>Sì</v>
      </c>
      <c r="D49" s="3">
        <v>0</v>
      </c>
      <c r="E49" s="2" t="s">
        <v>130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1</v>
      </c>
      <c r="E50" s="2" t="s">
        <v>131</v>
      </c>
      <c r="J50" s="6" t="str">
        <f t="shared" si="0"/>
        <v>Pari</v>
      </c>
    </row>
    <row r="51" spans="1:10" x14ac:dyDescent="0.4">
      <c r="A51" t="s">
        <v>6</v>
      </c>
      <c r="B51" t="s">
        <v>82</v>
      </c>
      <c r="C51" s="3" t="str">
        <f>IF(Completeness!C30=1, "Sì", "No")</f>
        <v>Sì</v>
      </c>
      <c r="D51" s="3">
        <v>0</v>
      </c>
      <c r="E51" s="2" t="s">
        <v>131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Sì</v>
      </c>
      <c r="D52" s="3">
        <v>1</v>
      </c>
      <c r="E52" s="2" t="s">
        <v>132</v>
      </c>
      <c r="J52" s="6" t="str">
        <f t="shared" si="0"/>
        <v>Pari</v>
      </c>
    </row>
    <row r="53" spans="1:10" x14ac:dyDescent="0.4">
      <c r="A53" t="s">
        <v>6</v>
      </c>
      <c r="B53" t="s">
        <v>84</v>
      </c>
      <c r="C53" s="3" t="str">
        <f>IF(Completeness!C31=1, "Sì", "No")</f>
        <v>Sì</v>
      </c>
      <c r="D53" s="3">
        <v>0</v>
      </c>
      <c r="E53" s="2" t="s">
        <v>132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s="2" t="s">
        <v>133</v>
      </c>
      <c r="J54" s="6" t="str">
        <f t="shared" si="0"/>
        <v>Pari</v>
      </c>
    </row>
    <row r="55" spans="1:10" x14ac:dyDescent="0.4">
      <c r="A55" t="s">
        <v>6</v>
      </c>
      <c r="B55" t="s">
        <v>83</v>
      </c>
      <c r="C55" s="3" t="str">
        <f>IF(Completeness!C32=1, "Sì", "No")</f>
        <v>Sì</v>
      </c>
      <c r="D55" s="3">
        <v>0</v>
      </c>
      <c r="E55" s="2" t="s">
        <v>133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Sì</v>
      </c>
      <c r="D56" s="3">
        <v>1</v>
      </c>
      <c r="E56" s="2" t="s">
        <v>135</v>
      </c>
      <c r="J56" s="6" t="str">
        <f t="shared" si="0"/>
        <v>Pari</v>
      </c>
    </row>
    <row r="57" spans="1:10" x14ac:dyDescent="0.4">
      <c r="A57" t="s">
        <v>6</v>
      </c>
      <c r="B57" t="s">
        <v>93</v>
      </c>
      <c r="C57" s="3" t="str">
        <f>IF(Completeness!C34=1, "Sì", "No")</f>
        <v>Sì</v>
      </c>
      <c r="D57" s="3">
        <v>0</v>
      </c>
      <c r="E57" s="2" t="s">
        <v>135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Sì</v>
      </c>
      <c r="D58" s="3">
        <v>1</v>
      </c>
      <c r="E58" s="2" t="s">
        <v>136</v>
      </c>
      <c r="J58" s="6" t="str">
        <f t="shared" si="0"/>
        <v>Pari</v>
      </c>
    </row>
    <row r="59" spans="1:10" x14ac:dyDescent="0.4">
      <c r="A59" t="s">
        <v>6</v>
      </c>
      <c r="B59" t="s">
        <v>87</v>
      </c>
      <c r="C59" s="3" t="str">
        <f>IF(Completeness!C35=1, "Sì", "No")</f>
        <v>Sì</v>
      </c>
      <c r="D59" s="3">
        <v>0</v>
      </c>
      <c r="E59" s="2" t="s">
        <v>136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Sì</v>
      </c>
      <c r="D60" s="3">
        <v>1</v>
      </c>
      <c r="E60" s="2" t="s">
        <v>137</v>
      </c>
      <c r="J60" s="6" t="str">
        <f t="shared" si="0"/>
        <v>Pari</v>
      </c>
    </row>
    <row r="61" spans="1:10" x14ac:dyDescent="0.4">
      <c r="A61" t="s">
        <v>6</v>
      </c>
      <c r="B61" t="s">
        <v>88</v>
      </c>
      <c r="C61" s="3" t="str">
        <f>IF(Completeness!C36=1, "Sì", "No")</f>
        <v>Sì</v>
      </c>
      <c r="D61" s="3">
        <v>0</v>
      </c>
      <c r="E61" s="2" t="s">
        <v>137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Sì</v>
      </c>
      <c r="D62" s="3">
        <v>1</v>
      </c>
      <c r="E62" s="2" t="s">
        <v>138</v>
      </c>
      <c r="J62" s="6" t="str">
        <f t="shared" si="0"/>
        <v>Pari</v>
      </c>
    </row>
    <row r="63" spans="1:10" x14ac:dyDescent="0.4">
      <c r="A63" t="s">
        <v>6</v>
      </c>
      <c r="B63" t="s">
        <v>90</v>
      </c>
      <c r="C63" s="3" t="str">
        <f>IF(Completeness!C37=1, "Sì", "No")</f>
        <v>Sì</v>
      </c>
      <c r="D63" s="3">
        <v>0</v>
      </c>
      <c r="E63" s="2" t="s">
        <v>138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Sì</v>
      </c>
      <c r="D64" s="3">
        <v>1</v>
      </c>
      <c r="E64" s="2" t="s">
        <v>139</v>
      </c>
      <c r="J64" s="6" t="str">
        <f t="shared" si="0"/>
        <v>Pari</v>
      </c>
    </row>
    <row r="65" spans="1:10" x14ac:dyDescent="0.4">
      <c r="A65" t="s">
        <v>6</v>
      </c>
      <c r="B65" t="s">
        <v>89</v>
      </c>
      <c r="C65" s="3" t="str">
        <f>IF(Completeness!C38=1, "Sì", "No")</f>
        <v>Sì</v>
      </c>
      <c r="D65" s="3">
        <v>0</v>
      </c>
      <c r="E65" s="2" t="s">
        <v>139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Sì</v>
      </c>
      <c r="D66" s="3">
        <v>1</v>
      </c>
      <c r="E66" s="2" t="s">
        <v>140</v>
      </c>
      <c r="J66" s="6" t="str">
        <f t="shared" si="0"/>
        <v>Pari</v>
      </c>
    </row>
    <row r="67" spans="1:10" x14ac:dyDescent="0.4">
      <c r="A67" t="s">
        <v>6</v>
      </c>
      <c r="B67" t="s">
        <v>91</v>
      </c>
      <c r="C67" s="3" t="str">
        <f>IF(Completeness!C39=1, "Sì", "No")</f>
        <v>Sì</v>
      </c>
      <c r="D67" s="3">
        <v>0</v>
      </c>
      <c r="E67" s="2" t="s">
        <v>140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Sì</v>
      </c>
      <c r="D68" s="3">
        <v>1</v>
      </c>
      <c r="E68" s="2" t="s">
        <v>141</v>
      </c>
      <c r="J68" s="6" t="str">
        <f t="shared" si="1"/>
        <v>Pari</v>
      </c>
    </row>
    <row r="69" spans="1:10" x14ac:dyDescent="0.4">
      <c r="A69" t="s">
        <v>6</v>
      </c>
      <c r="B69" t="s">
        <v>92</v>
      </c>
      <c r="C69" s="3" t="str">
        <f>IF(Completeness!C40=1, "Sì", "No")</f>
        <v>Sì</v>
      </c>
      <c r="D69" s="3">
        <v>0</v>
      </c>
      <c r="E69" s="2" t="s">
        <v>141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1</v>
      </c>
      <c r="E70" s="2" t="s">
        <v>142</v>
      </c>
      <c r="J70" s="6" t="str">
        <f t="shared" si="1"/>
        <v>Pari</v>
      </c>
    </row>
    <row r="71" spans="1:10" x14ac:dyDescent="0.4">
      <c r="A71" t="s">
        <v>7</v>
      </c>
      <c r="B71" t="s">
        <v>82</v>
      </c>
      <c r="C71" s="3" t="str">
        <f>IF(Completeness!C41=1, "Sì", "No")</f>
        <v>Sì</v>
      </c>
      <c r="D71" s="3">
        <v>0</v>
      </c>
      <c r="E71" s="2" t="s">
        <v>142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Sì</v>
      </c>
      <c r="D72" s="3">
        <v>1</v>
      </c>
      <c r="E72" s="2" t="s">
        <v>143</v>
      </c>
      <c r="J72" s="6" t="str">
        <f t="shared" si="1"/>
        <v>Pari</v>
      </c>
    </row>
    <row r="73" spans="1:10" x14ac:dyDescent="0.4">
      <c r="A73" t="s">
        <v>7</v>
      </c>
      <c r="B73" t="s">
        <v>84</v>
      </c>
      <c r="C73" s="3" t="str">
        <f>IF(Completeness!C42=1, "Sì", "No")</f>
        <v>Sì</v>
      </c>
      <c r="D73" s="3">
        <v>0</v>
      </c>
      <c r="E73" s="2" t="s">
        <v>143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s="2" t="s">
        <v>144</v>
      </c>
      <c r="J74" s="6" t="str">
        <f t="shared" si="1"/>
        <v>Pari</v>
      </c>
    </row>
    <row r="75" spans="1:10" x14ac:dyDescent="0.4">
      <c r="A75" t="s">
        <v>7</v>
      </c>
      <c r="B75" t="s">
        <v>83</v>
      </c>
      <c r="C75" s="3" t="str">
        <f>IF(Completeness!C43=1, "Sì", "No")</f>
        <v>Sì</v>
      </c>
      <c r="D75" s="3">
        <v>0</v>
      </c>
      <c r="E75" s="2" t="s">
        <v>144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Sì</v>
      </c>
      <c r="D76" s="3">
        <v>1</v>
      </c>
      <c r="E76" s="2" t="s">
        <v>146</v>
      </c>
      <c r="J76" s="6" t="str">
        <f t="shared" si="1"/>
        <v>Pari</v>
      </c>
    </row>
    <row r="77" spans="1:10" x14ac:dyDescent="0.4">
      <c r="A77" t="s">
        <v>7</v>
      </c>
      <c r="B77" t="s">
        <v>94</v>
      </c>
      <c r="C77" s="3" t="str">
        <f>IF(Completeness!C45=1, "Sì", "No")</f>
        <v>Sì</v>
      </c>
      <c r="D77" s="3">
        <v>0</v>
      </c>
      <c r="E77" s="2" t="s">
        <v>146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Sì</v>
      </c>
      <c r="D78" s="3">
        <v>1</v>
      </c>
      <c r="E78" s="2" t="s">
        <v>205</v>
      </c>
      <c r="J78" s="6" t="str">
        <f t="shared" si="1"/>
        <v>Pari</v>
      </c>
    </row>
    <row r="79" spans="1:10" x14ac:dyDescent="0.4">
      <c r="A79" t="s">
        <v>7</v>
      </c>
      <c r="B79" t="s">
        <v>87</v>
      </c>
      <c r="C79" s="3" t="str">
        <f>IF(Completeness!C46=1, "Sì", "No")</f>
        <v>Sì</v>
      </c>
      <c r="D79" s="3">
        <v>0</v>
      </c>
      <c r="E79" s="2" t="s">
        <v>147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Sì</v>
      </c>
      <c r="D80" s="3">
        <v>1</v>
      </c>
      <c r="E80" s="2" t="s">
        <v>148</v>
      </c>
      <c r="J80" s="6" t="str">
        <f t="shared" si="1"/>
        <v>Pari</v>
      </c>
    </row>
    <row r="81" spans="1:10" x14ac:dyDescent="0.4">
      <c r="A81" t="s">
        <v>7</v>
      </c>
      <c r="B81" t="s">
        <v>88</v>
      </c>
      <c r="C81" s="3" t="str">
        <f>IF(Completeness!C47=1, "Sì", "No")</f>
        <v>Sì</v>
      </c>
      <c r="D81" s="3">
        <v>0</v>
      </c>
      <c r="E81" s="2" t="s">
        <v>148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Sì</v>
      </c>
      <c r="D82" s="3">
        <v>1</v>
      </c>
      <c r="E82" s="2" t="s">
        <v>149</v>
      </c>
      <c r="J82" s="6" t="str">
        <f t="shared" si="1"/>
        <v>Pari</v>
      </c>
    </row>
    <row r="83" spans="1:10" x14ac:dyDescent="0.4">
      <c r="A83" t="s">
        <v>7</v>
      </c>
      <c r="B83" t="s">
        <v>90</v>
      </c>
      <c r="C83" s="3" t="str">
        <f>IF(Completeness!C48=1, "Sì", "No")</f>
        <v>Sì</v>
      </c>
      <c r="D83" s="3">
        <v>0</v>
      </c>
      <c r="E83" s="2" t="s">
        <v>149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Sì</v>
      </c>
      <c r="D84" s="3">
        <v>1</v>
      </c>
      <c r="E84" s="2" t="s">
        <v>150</v>
      </c>
      <c r="J84" s="6" t="str">
        <f t="shared" si="1"/>
        <v>Pari</v>
      </c>
    </row>
    <row r="85" spans="1:10" x14ac:dyDescent="0.4">
      <c r="A85" t="s">
        <v>7</v>
      </c>
      <c r="B85" t="s">
        <v>95</v>
      </c>
      <c r="C85" s="3" t="str">
        <f>IF(Completeness!C49=1, "Sì", "No")</f>
        <v>Sì</v>
      </c>
      <c r="D85" s="3">
        <v>0</v>
      </c>
      <c r="E85" s="2" t="s">
        <v>150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Sì</v>
      </c>
      <c r="D86" s="3">
        <v>1</v>
      </c>
      <c r="E86" s="2" t="s">
        <v>151</v>
      </c>
      <c r="J86" s="6" t="str">
        <f t="shared" si="1"/>
        <v>Pari</v>
      </c>
    </row>
    <row r="87" spans="1:10" x14ac:dyDescent="0.4">
      <c r="A87" t="s">
        <v>7</v>
      </c>
      <c r="B87" t="s">
        <v>91</v>
      </c>
      <c r="C87" s="3" t="str">
        <f>IF(Completeness!C50=1, "Sì", "No")</f>
        <v>Sì</v>
      </c>
      <c r="D87" s="3">
        <v>0</v>
      </c>
      <c r="E87" s="2" t="s">
        <v>151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Sì</v>
      </c>
      <c r="D88" s="3">
        <v>1</v>
      </c>
      <c r="E88" s="2" t="s">
        <v>152</v>
      </c>
      <c r="J88" s="6" t="str">
        <f t="shared" si="1"/>
        <v>Pari</v>
      </c>
    </row>
    <row r="89" spans="1:10" x14ac:dyDescent="0.4">
      <c r="A89" t="s">
        <v>7</v>
      </c>
      <c r="B89" t="s">
        <v>92</v>
      </c>
      <c r="C89" s="3" t="str">
        <f>IF(Completeness!C51=1, "Sì", "No")</f>
        <v>Sì</v>
      </c>
      <c r="D89" s="3">
        <v>0</v>
      </c>
      <c r="E89" s="2" t="s">
        <v>152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1</v>
      </c>
      <c r="E90" s="2" t="s">
        <v>153</v>
      </c>
      <c r="J90" s="6" t="str">
        <f t="shared" si="1"/>
        <v>Pari</v>
      </c>
    </row>
    <row r="91" spans="1:10" x14ac:dyDescent="0.4">
      <c r="A91" t="s">
        <v>8</v>
      </c>
      <c r="B91" t="s">
        <v>78</v>
      </c>
      <c r="C91" s="3" t="str">
        <f>IF(Completeness!C52=1, "Sì", "No")</f>
        <v>Sì</v>
      </c>
      <c r="D91" s="3">
        <v>0</v>
      </c>
      <c r="E91" s="2" t="s">
        <v>153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Sì</v>
      </c>
      <c r="D92" s="3">
        <v>1</v>
      </c>
      <c r="E92" s="2" t="s">
        <v>154</v>
      </c>
      <c r="J92" s="6" t="str">
        <f t="shared" si="1"/>
        <v>Pari</v>
      </c>
    </row>
    <row r="93" spans="1:10" x14ac:dyDescent="0.4">
      <c r="A93" t="s">
        <v>8</v>
      </c>
      <c r="B93" t="s">
        <v>84</v>
      </c>
      <c r="C93" s="3" t="str">
        <f>IF(Completeness!C53=1, "Sì", "No")</f>
        <v>Sì</v>
      </c>
      <c r="D93" s="3">
        <v>0</v>
      </c>
      <c r="E93" s="2" t="s">
        <v>154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s="2" t="s">
        <v>155</v>
      </c>
      <c r="J94" s="6" t="str">
        <f t="shared" si="1"/>
        <v>Pari</v>
      </c>
    </row>
    <row r="95" spans="1:10" x14ac:dyDescent="0.4">
      <c r="A95" t="s">
        <v>8</v>
      </c>
      <c r="B95" t="s">
        <v>80</v>
      </c>
      <c r="C95" s="3" t="str">
        <f>IF(Completeness!C54=1, "Sì", "No")</f>
        <v>Sì</v>
      </c>
      <c r="D95" s="3">
        <v>0</v>
      </c>
      <c r="E95" s="2" t="s">
        <v>155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Sì</v>
      </c>
      <c r="D96" s="3">
        <v>1</v>
      </c>
      <c r="E96" s="2" t="s">
        <v>157</v>
      </c>
      <c r="J96" s="6" t="str">
        <f t="shared" si="1"/>
        <v>Pari</v>
      </c>
    </row>
    <row r="97" spans="1:10" x14ac:dyDescent="0.4">
      <c r="A97" t="s">
        <v>8</v>
      </c>
      <c r="B97" t="s">
        <v>94</v>
      </c>
      <c r="C97" s="3" t="str">
        <f>IF(Completeness!C56=1, "Sì", "No")</f>
        <v>Sì</v>
      </c>
      <c r="D97" s="3">
        <v>0</v>
      </c>
      <c r="E97" s="2" t="s">
        <v>157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Sì</v>
      </c>
      <c r="D98" s="3">
        <v>1</v>
      </c>
      <c r="E98" s="2" t="s">
        <v>158</v>
      </c>
      <c r="J98" s="6" t="str">
        <f t="shared" si="1"/>
        <v>Pari</v>
      </c>
    </row>
    <row r="99" spans="1:10" x14ac:dyDescent="0.4">
      <c r="A99" t="s">
        <v>8</v>
      </c>
      <c r="B99" t="s">
        <v>96</v>
      </c>
      <c r="C99" s="3" t="str">
        <f>IF(Completeness!C57=1, "Sì", "No")</f>
        <v>Sì</v>
      </c>
      <c r="D99" s="3">
        <v>0</v>
      </c>
      <c r="E99" s="2" t="s">
        <v>158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Sì</v>
      </c>
      <c r="D100" s="3">
        <v>1</v>
      </c>
      <c r="E100" s="2" t="s">
        <v>159</v>
      </c>
      <c r="J100" s="6" t="str">
        <f t="shared" si="1"/>
        <v>Pari</v>
      </c>
    </row>
    <row r="101" spans="1:10" x14ac:dyDescent="0.4">
      <c r="A101" t="s">
        <v>8</v>
      </c>
      <c r="B101" t="s">
        <v>88</v>
      </c>
      <c r="C101" s="3" t="str">
        <f>IF(Completeness!C58=1, "Sì", "No")</f>
        <v>Sì</v>
      </c>
      <c r="D101" s="3">
        <v>0</v>
      </c>
      <c r="E101" s="2" t="s">
        <v>159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Sì</v>
      </c>
      <c r="D102" s="3">
        <v>1</v>
      </c>
      <c r="E102" s="2" t="s">
        <v>160</v>
      </c>
      <c r="J102" s="6" t="str">
        <f t="shared" si="1"/>
        <v>Pari</v>
      </c>
    </row>
    <row r="103" spans="1:10" x14ac:dyDescent="0.4">
      <c r="A103" t="s">
        <v>8</v>
      </c>
      <c r="B103" t="s">
        <v>97</v>
      </c>
      <c r="C103" s="3" t="str">
        <f>IF(Completeness!C59=1, "Sì", "No")</f>
        <v>Sì</v>
      </c>
      <c r="D103" s="3">
        <v>0</v>
      </c>
      <c r="E103" s="2" t="s">
        <v>160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Sì</v>
      </c>
      <c r="D104" s="3">
        <v>1</v>
      </c>
      <c r="E104" s="2" t="s">
        <v>161</v>
      </c>
      <c r="J104" s="6" t="str">
        <f t="shared" si="1"/>
        <v>Pari</v>
      </c>
    </row>
    <row r="105" spans="1:10" x14ac:dyDescent="0.4">
      <c r="A105" t="s">
        <v>8</v>
      </c>
      <c r="B105" t="s">
        <v>89</v>
      </c>
      <c r="C105" s="3" t="str">
        <f>IF(Completeness!C60=1, "Sì", "No")</f>
        <v>Sì</v>
      </c>
      <c r="D105" s="3">
        <v>0</v>
      </c>
      <c r="E105" s="2" t="s">
        <v>161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Sì</v>
      </c>
      <c r="D106" s="3">
        <v>1</v>
      </c>
      <c r="E106" s="2" t="s">
        <v>162</v>
      </c>
      <c r="J106" s="6" t="str">
        <f t="shared" si="1"/>
        <v>Pari</v>
      </c>
    </row>
    <row r="107" spans="1:10" x14ac:dyDescent="0.4">
      <c r="A107" t="s">
        <v>8</v>
      </c>
      <c r="B107" t="s">
        <v>91</v>
      </c>
      <c r="C107" s="3" t="str">
        <f>IF(Completeness!C61=1, "Sì", "No")</f>
        <v>Sì</v>
      </c>
      <c r="D107" s="3">
        <v>0</v>
      </c>
      <c r="E107" s="2" t="s">
        <v>162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Sì</v>
      </c>
      <c r="D108" s="3">
        <v>1</v>
      </c>
      <c r="E108" s="2" t="s">
        <v>210</v>
      </c>
      <c r="J108" s="6" t="str">
        <f t="shared" si="1"/>
        <v>Pari</v>
      </c>
    </row>
    <row r="109" spans="1:10" x14ac:dyDescent="0.4">
      <c r="A109" t="s">
        <v>8</v>
      </c>
      <c r="B109" t="s">
        <v>92</v>
      </c>
      <c r="C109" s="3" t="str">
        <f>IF(Completeness!C62=1, "Sì", "No")</f>
        <v>Sì</v>
      </c>
      <c r="D109" s="3">
        <v>0</v>
      </c>
      <c r="E109" s="2" t="s">
        <v>210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1</v>
      </c>
      <c r="E110" s="2" t="s">
        <v>164</v>
      </c>
      <c r="J110" s="6" t="str">
        <f t="shared" si="1"/>
        <v>Pari</v>
      </c>
    </row>
    <row r="111" spans="1:10" x14ac:dyDescent="0.4">
      <c r="A111" t="s">
        <v>13</v>
      </c>
      <c r="B111" t="s">
        <v>82</v>
      </c>
      <c r="C111" s="3" t="str">
        <f>IF(Completeness!C63=1, "Sì", "No")</f>
        <v>Sì</v>
      </c>
      <c r="D111" s="3">
        <v>0</v>
      </c>
      <c r="E111" s="2" t="s">
        <v>164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Sì</v>
      </c>
      <c r="D112" s="3">
        <v>1</v>
      </c>
      <c r="E112" s="2" t="s">
        <v>165</v>
      </c>
      <c r="J112" s="6" t="str">
        <f t="shared" si="1"/>
        <v>Pari</v>
      </c>
    </row>
    <row r="113" spans="1:10" x14ac:dyDescent="0.4">
      <c r="A113" t="s">
        <v>13</v>
      </c>
      <c r="B113" t="s">
        <v>84</v>
      </c>
      <c r="C113" s="3" t="str">
        <f>IF(Completeness!C64=1, "Sì", "No")</f>
        <v>Sì</v>
      </c>
      <c r="D113" s="3">
        <v>0</v>
      </c>
      <c r="E113" s="2" t="s">
        <v>165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s="2" t="s">
        <v>166</v>
      </c>
      <c r="J114" s="6" t="str">
        <f t="shared" si="1"/>
        <v>Pari</v>
      </c>
    </row>
    <row r="115" spans="1:10" x14ac:dyDescent="0.4">
      <c r="A115" t="s">
        <v>13</v>
      </c>
      <c r="B115" t="s">
        <v>80</v>
      </c>
      <c r="C115" s="3" t="str">
        <f>IF(Completeness!C65=1, "Sì", "No")</f>
        <v>Sì</v>
      </c>
      <c r="D115" s="3">
        <v>0</v>
      </c>
      <c r="E115" s="2" t="s">
        <v>166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Sì</v>
      </c>
      <c r="D116" s="3">
        <v>1</v>
      </c>
      <c r="E116" s="2" t="s">
        <v>168</v>
      </c>
      <c r="J116" s="6" t="str">
        <f t="shared" si="1"/>
        <v>Pari</v>
      </c>
    </row>
    <row r="117" spans="1:10" x14ac:dyDescent="0.4">
      <c r="A117" t="s">
        <v>13</v>
      </c>
      <c r="B117" t="s">
        <v>98</v>
      </c>
      <c r="C117" s="3" t="str">
        <f>IF(Completeness!C67=1, "Sì", "No")</f>
        <v>Sì</v>
      </c>
      <c r="D117" s="3">
        <v>0</v>
      </c>
      <c r="E117" s="2" t="s">
        <v>168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1</v>
      </c>
      <c r="E118" s="2" t="s">
        <v>169</v>
      </c>
      <c r="J118" s="6" t="str">
        <f t="shared" si="1"/>
        <v>Pari</v>
      </c>
    </row>
    <row r="119" spans="1:10" x14ac:dyDescent="0.4">
      <c r="A119" t="s">
        <v>10</v>
      </c>
      <c r="B119" t="s">
        <v>82</v>
      </c>
      <c r="C119" s="3" t="str">
        <f>IF(Completeness!C68=1, "Sì", "No")</f>
        <v>Sì</v>
      </c>
      <c r="D119" s="3">
        <v>0</v>
      </c>
      <c r="E119" s="2" t="s">
        <v>169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Sì</v>
      </c>
      <c r="D120" s="3">
        <v>1</v>
      </c>
      <c r="E120" s="2" t="s">
        <v>170</v>
      </c>
      <c r="J120" s="6" t="str">
        <f t="shared" si="1"/>
        <v>Pari</v>
      </c>
    </row>
    <row r="121" spans="1:10" x14ac:dyDescent="0.4">
      <c r="A121" t="s">
        <v>10</v>
      </c>
      <c r="B121" t="s">
        <v>84</v>
      </c>
      <c r="C121" s="3" t="str">
        <f>IF(Completeness!C69=1, "Sì", "No")</f>
        <v>Sì</v>
      </c>
      <c r="D121" s="3">
        <v>0</v>
      </c>
      <c r="E121" s="2" t="s">
        <v>170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s="2" t="s">
        <v>171</v>
      </c>
      <c r="J122" s="6" t="str">
        <f t="shared" si="1"/>
        <v>Pari</v>
      </c>
    </row>
    <row r="123" spans="1:10" x14ac:dyDescent="0.4">
      <c r="A123" t="s">
        <v>10</v>
      </c>
      <c r="B123" t="s">
        <v>80</v>
      </c>
      <c r="C123" s="3" t="str">
        <f>IF(Completeness!C70=1, "Sì", "No")</f>
        <v>Sì</v>
      </c>
      <c r="D123" s="3">
        <v>0</v>
      </c>
      <c r="E123" s="2" t="s">
        <v>171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Sì</v>
      </c>
      <c r="D124" s="3">
        <v>1</v>
      </c>
      <c r="E124" s="2" t="s">
        <v>173</v>
      </c>
      <c r="J124" s="6" t="str">
        <f t="shared" si="1"/>
        <v>Pari</v>
      </c>
    </row>
    <row r="125" spans="1:10" x14ac:dyDescent="0.4">
      <c r="A125" t="s">
        <v>10</v>
      </c>
      <c r="B125" t="s">
        <v>98</v>
      </c>
      <c r="C125" s="3" t="str">
        <f>IF(Completeness!C72=1, "Sì", "No")</f>
        <v>Sì</v>
      </c>
      <c r="D125" s="3">
        <v>0</v>
      </c>
      <c r="E125" s="2" t="s">
        <v>173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1</v>
      </c>
      <c r="E126" s="2" t="s">
        <v>174</v>
      </c>
      <c r="J126" s="6" t="str">
        <f t="shared" si="1"/>
        <v>Pari</v>
      </c>
    </row>
    <row r="127" spans="1:10" x14ac:dyDescent="0.4">
      <c r="A127" t="s">
        <v>11</v>
      </c>
      <c r="B127" t="s">
        <v>82</v>
      </c>
      <c r="C127" s="3" t="str">
        <f>IF(Completeness!C73=1, "Sì", "No")</f>
        <v>Sì</v>
      </c>
      <c r="D127" s="3">
        <v>0</v>
      </c>
      <c r="E127" s="2" t="s">
        <v>174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Sì</v>
      </c>
      <c r="D128" s="3">
        <v>1</v>
      </c>
      <c r="E128" s="2" t="s">
        <v>175</v>
      </c>
      <c r="J128" s="6" t="str">
        <f t="shared" si="1"/>
        <v>Pari</v>
      </c>
    </row>
    <row r="129" spans="1:10" x14ac:dyDescent="0.4">
      <c r="A129" t="s">
        <v>11</v>
      </c>
      <c r="B129" t="s">
        <v>84</v>
      </c>
      <c r="C129" s="3" t="str">
        <f>IF(Completeness!C74=1, "Sì", "No")</f>
        <v>Sì</v>
      </c>
      <c r="D129" s="3">
        <v>0</v>
      </c>
      <c r="E129" s="2" t="s">
        <v>175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s="2" t="s">
        <v>176</v>
      </c>
      <c r="J130" s="6" t="str">
        <f t="shared" si="1"/>
        <v>Pari</v>
      </c>
    </row>
    <row r="131" spans="1:10" x14ac:dyDescent="0.4">
      <c r="A131" t="s">
        <v>11</v>
      </c>
      <c r="B131" t="s">
        <v>80</v>
      </c>
      <c r="C131" s="3" t="str">
        <f>IF(Completeness!C75=1, "Sì", "No")</f>
        <v>Sì</v>
      </c>
      <c r="D131" s="3">
        <v>0</v>
      </c>
      <c r="E131" s="2" t="s">
        <v>176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Sì</v>
      </c>
      <c r="D132" s="3">
        <v>1</v>
      </c>
      <c r="E132" s="2" t="s">
        <v>178</v>
      </c>
      <c r="J132" s="6" t="str">
        <f t="shared" si="2"/>
        <v>Pari</v>
      </c>
    </row>
    <row r="133" spans="1:10" x14ac:dyDescent="0.4">
      <c r="A133" t="s">
        <v>11</v>
      </c>
      <c r="B133" t="s">
        <v>98</v>
      </c>
      <c r="C133" s="3" t="str">
        <f>IF(Completeness!C77=1, "Sì", "No")</f>
        <v>Sì</v>
      </c>
      <c r="D133" s="3">
        <v>0</v>
      </c>
      <c r="E133" s="2" t="s">
        <v>178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1</v>
      </c>
      <c r="E134" s="2" t="s">
        <v>179</v>
      </c>
      <c r="J134" s="6" t="str">
        <f t="shared" si="2"/>
        <v>Pari</v>
      </c>
    </row>
    <row r="135" spans="1:10" x14ac:dyDescent="0.4">
      <c r="A135" t="s">
        <v>12</v>
      </c>
      <c r="B135" t="s">
        <v>82</v>
      </c>
      <c r="C135" s="3" t="str">
        <f>IF(Completeness!C78=1, "Sì", "No")</f>
        <v>Sì</v>
      </c>
      <c r="D135" s="3">
        <v>0</v>
      </c>
      <c r="E135" s="2" t="s">
        <v>179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Sì</v>
      </c>
      <c r="D136" s="3">
        <v>1</v>
      </c>
      <c r="E136" s="2" t="s">
        <v>180</v>
      </c>
      <c r="J136" s="6" t="str">
        <f t="shared" si="2"/>
        <v>Pari</v>
      </c>
    </row>
    <row r="137" spans="1:10" x14ac:dyDescent="0.4">
      <c r="A137" t="s">
        <v>12</v>
      </c>
      <c r="B137" t="s">
        <v>84</v>
      </c>
      <c r="C137" s="3" t="str">
        <f>IF(Completeness!C79=1, "Sì", "No")</f>
        <v>Sì</v>
      </c>
      <c r="D137" s="3">
        <v>0</v>
      </c>
      <c r="E137" s="2" t="s">
        <v>180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s="2" t="s">
        <v>181</v>
      </c>
      <c r="J138" s="6" t="str">
        <f t="shared" si="2"/>
        <v>Pari</v>
      </c>
    </row>
    <row r="139" spans="1:10" x14ac:dyDescent="0.4">
      <c r="A139" t="s">
        <v>12</v>
      </c>
      <c r="B139" t="s">
        <v>80</v>
      </c>
      <c r="C139" s="3" t="str">
        <f>IF(Completeness!C80=1, "Sì", "No")</f>
        <v>Sì</v>
      </c>
      <c r="D139" s="3">
        <v>0</v>
      </c>
      <c r="E139" s="2" t="s">
        <v>181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Sì</v>
      </c>
      <c r="D140" s="3">
        <v>1</v>
      </c>
      <c r="E140" s="2" t="s">
        <v>183</v>
      </c>
      <c r="J140" s="6" t="str">
        <f t="shared" si="2"/>
        <v>Pari</v>
      </c>
    </row>
    <row r="141" spans="1:10" x14ac:dyDescent="0.4">
      <c r="A141" t="s">
        <v>12</v>
      </c>
      <c r="B141" t="s">
        <v>98</v>
      </c>
      <c r="C141" s="3" t="str">
        <f>IF(Completeness!C82=1, "Sì", "No")</f>
        <v>Sì</v>
      </c>
      <c r="D141" s="3">
        <v>0</v>
      </c>
      <c r="E141" s="2" t="s">
        <v>183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1</v>
      </c>
      <c r="E142" s="2" t="s">
        <v>184</v>
      </c>
      <c r="J142" s="6" t="str">
        <f t="shared" si="2"/>
        <v>Pari</v>
      </c>
    </row>
    <row r="143" spans="1:10" x14ac:dyDescent="0.4">
      <c r="A143" t="s">
        <v>9</v>
      </c>
      <c r="B143" t="s">
        <v>82</v>
      </c>
      <c r="C143" s="3" t="str">
        <f>IF(Completeness!C83=1, "Sì", "No")</f>
        <v>Sì</v>
      </c>
      <c r="D143" s="3">
        <v>0</v>
      </c>
      <c r="E143" s="2" t="s">
        <v>184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Sì</v>
      </c>
      <c r="D144" s="3">
        <v>1</v>
      </c>
      <c r="E144" s="2" t="s">
        <v>185</v>
      </c>
      <c r="J144" s="6" t="str">
        <f t="shared" si="2"/>
        <v>Pari</v>
      </c>
    </row>
    <row r="145" spans="1:10" x14ac:dyDescent="0.4">
      <c r="A145" t="s">
        <v>9</v>
      </c>
      <c r="B145" t="s">
        <v>79</v>
      </c>
      <c r="C145" s="3" t="str">
        <f>IF(Completeness!C84=1, "Sì", "No")</f>
        <v>Sì</v>
      </c>
      <c r="D145" s="3">
        <v>0</v>
      </c>
      <c r="E145" s="2" t="s">
        <v>185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s="2" t="s">
        <v>186</v>
      </c>
      <c r="J146" s="6" t="str">
        <f t="shared" si="2"/>
        <v>Pari</v>
      </c>
    </row>
    <row r="147" spans="1:10" x14ac:dyDescent="0.4">
      <c r="A147" t="s">
        <v>9</v>
      </c>
      <c r="B147" t="s">
        <v>80</v>
      </c>
      <c r="C147" s="3" t="str">
        <f>IF(Completeness!C85=1, "Sì", "No")</f>
        <v>Sì</v>
      </c>
      <c r="D147" s="3">
        <v>0</v>
      </c>
      <c r="E147" s="2" t="s">
        <v>186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Sì</v>
      </c>
      <c r="D148" s="3">
        <v>1</v>
      </c>
      <c r="E148" s="2" t="s">
        <v>188</v>
      </c>
      <c r="J148" s="6" t="str">
        <f t="shared" si="2"/>
        <v>Pari</v>
      </c>
    </row>
    <row r="149" spans="1:10" x14ac:dyDescent="0.4">
      <c r="A149" t="s">
        <v>9</v>
      </c>
      <c r="B149" t="s">
        <v>94</v>
      </c>
      <c r="C149" s="3" t="str">
        <f>IF(Completeness!C87=1, "Sì", "No")</f>
        <v>Sì</v>
      </c>
      <c r="D149" s="3">
        <v>0</v>
      </c>
      <c r="E149" s="2" t="s">
        <v>188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Sì</v>
      </c>
      <c r="D150" s="3">
        <v>1</v>
      </c>
      <c r="E150" s="2" t="s">
        <v>189</v>
      </c>
      <c r="J150" s="6" t="str">
        <f t="shared" si="2"/>
        <v>Pari</v>
      </c>
    </row>
    <row r="151" spans="1:10" x14ac:dyDescent="0.4">
      <c r="A151" t="s">
        <v>9</v>
      </c>
      <c r="B151" t="s">
        <v>87</v>
      </c>
      <c r="C151" s="3" t="str">
        <f>IF(Completeness!C88=1, "Sì", "No")</f>
        <v>Sì</v>
      </c>
      <c r="D151" s="3">
        <v>0</v>
      </c>
      <c r="E151" s="2" t="s">
        <v>189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Sì</v>
      </c>
      <c r="D152" s="3">
        <v>1</v>
      </c>
      <c r="E152" s="2" t="s">
        <v>190</v>
      </c>
      <c r="J152" s="6" t="str">
        <f t="shared" si="2"/>
        <v>Pari</v>
      </c>
    </row>
    <row r="153" spans="1:10" x14ac:dyDescent="0.4">
      <c r="A153" t="s">
        <v>9</v>
      </c>
      <c r="B153" t="s">
        <v>88</v>
      </c>
      <c r="C153" s="3" t="str">
        <f>IF(Completeness!C89=1, "Sì", "No")</f>
        <v>Sì</v>
      </c>
      <c r="D153" s="3">
        <v>0</v>
      </c>
      <c r="E153" s="2" t="s">
        <v>190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Sì</v>
      </c>
      <c r="D154" s="3">
        <v>1</v>
      </c>
      <c r="E154" s="2" t="s">
        <v>191</v>
      </c>
      <c r="J154" s="6" t="str">
        <f t="shared" si="2"/>
        <v>Pari</v>
      </c>
    </row>
    <row r="155" spans="1:10" x14ac:dyDescent="0.4">
      <c r="A155" t="s">
        <v>9</v>
      </c>
      <c r="B155" t="s">
        <v>90</v>
      </c>
      <c r="C155" s="3" t="str">
        <f>IF(Completeness!C90=1, "Sì", "No")</f>
        <v>Sì</v>
      </c>
      <c r="D155" s="3">
        <v>0</v>
      </c>
      <c r="E155" s="2" t="s">
        <v>191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Sì</v>
      </c>
      <c r="D156" s="3">
        <v>1</v>
      </c>
      <c r="E156" s="2" t="s">
        <v>192</v>
      </c>
      <c r="J156" s="6" t="str">
        <f t="shared" si="2"/>
        <v>Pari</v>
      </c>
    </row>
    <row r="157" spans="1:10" x14ac:dyDescent="0.4">
      <c r="A157" t="s">
        <v>9</v>
      </c>
      <c r="B157" t="s">
        <v>95</v>
      </c>
      <c r="C157" s="3" t="str">
        <f>IF(Completeness!C91=1, "Sì", "No")</f>
        <v>Sì</v>
      </c>
      <c r="D157" s="3">
        <v>0</v>
      </c>
      <c r="E157" s="2" t="s">
        <v>192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Sì</v>
      </c>
      <c r="D158" s="3">
        <v>1</v>
      </c>
      <c r="E158" s="2" t="s">
        <v>193</v>
      </c>
      <c r="J158" s="6" t="str">
        <f t="shared" si="2"/>
        <v>Pari</v>
      </c>
    </row>
    <row r="159" spans="1:10" x14ac:dyDescent="0.4">
      <c r="A159" t="s">
        <v>9</v>
      </c>
      <c r="B159" t="s">
        <v>91</v>
      </c>
      <c r="C159" s="3" t="str">
        <f>IF(Completeness!C92=1, "Sì", "No")</f>
        <v>Sì</v>
      </c>
      <c r="D159" s="3">
        <v>0</v>
      </c>
      <c r="E159" s="2" t="s">
        <v>193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Sì</v>
      </c>
      <c r="D160" s="3">
        <v>1</v>
      </c>
      <c r="E160" s="2" t="s">
        <v>194</v>
      </c>
      <c r="J160" s="6" t="str">
        <f t="shared" si="2"/>
        <v>Pari</v>
      </c>
    </row>
    <row r="161" spans="1:10" x14ac:dyDescent="0.4">
      <c r="A161" t="s">
        <v>9</v>
      </c>
      <c r="B161" t="s">
        <v>92</v>
      </c>
      <c r="C161" s="3" t="str">
        <f>IF(Completeness!C93=1, "Sì", "No")</f>
        <v>Sì</v>
      </c>
      <c r="D161" s="3">
        <v>0</v>
      </c>
      <c r="E161" s="2" t="s">
        <v>194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1</v>
      </c>
      <c r="E162" s="2" t="s">
        <v>195</v>
      </c>
      <c r="J162" s="6" t="str">
        <f t="shared" si="2"/>
        <v>Pari</v>
      </c>
    </row>
    <row r="163" spans="1:10" x14ac:dyDescent="0.4">
      <c r="A163" t="s">
        <v>14</v>
      </c>
      <c r="B163" t="s">
        <v>82</v>
      </c>
      <c r="C163" s="3" t="str">
        <f>IF(Completeness!C94=1, "Sì", "No")</f>
        <v>Sì</v>
      </c>
      <c r="D163" s="3">
        <v>0</v>
      </c>
      <c r="E163" s="2" t="s">
        <v>195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Sì</v>
      </c>
      <c r="D164" s="3">
        <v>1</v>
      </c>
      <c r="E164" s="2" t="s">
        <v>196</v>
      </c>
      <c r="J164" s="6" t="str">
        <f t="shared" si="2"/>
        <v>Pari</v>
      </c>
    </row>
    <row r="165" spans="1:10" x14ac:dyDescent="0.4">
      <c r="A165" t="s">
        <v>14</v>
      </c>
      <c r="B165" t="s">
        <v>84</v>
      </c>
      <c r="C165" s="3" t="str">
        <f>IF(Completeness!C95=1, "Sì", "No")</f>
        <v>Sì</v>
      </c>
      <c r="D165" s="3">
        <v>0</v>
      </c>
      <c r="E165" s="2" t="s">
        <v>196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s="2" t="s">
        <v>197</v>
      </c>
      <c r="J166" s="6" t="str">
        <f t="shared" si="2"/>
        <v>Pari</v>
      </c>
    </row>
    <row r="167" spans="1:10" x14ac:dyDescent="0.4">
      <c r="A167" t="s">
        <v>14</v>
      </c>
      <c r="B167" t="s">
        <v>80</v>
      </c>
      <c r="C167" s="3" t="str">
        <f>IF(Completeness!C96=1, "Sì", "No")</f>
        <v>Sì</v>
      </c>
      <c r="D167" s="3">
        <v>0</v>
      </c>
      <c r="E167" s="2" t="s">
        <v>197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Sì</v>
      </c>
      <c r="D168" s="3">
        <v>1</v>
      </c>
      <c r="E168" s="2" t="s">
        <v>199</v>
      </c>
      <c r="J168" s="6" t="str">
        <f t="shared" si="2"/>
        <v>Pari</v>
      </c>
    </row>
    <row r="169" spans="1:10" x14ac:dyDescent="0.4">
      <c r="A169" t="s">
        <v>14</v>
      </c>
      <c r="B169" t="s">
        <v>99</v>
      </c>
      <c r="C169" s="3" t="str">
        <f>IF(Completeness!C98=1, "Sì", "No")</f>
        <v>Sì</v>
      </c>
      <c r="D169" s="3">
        <v>0</v>
      </c>
      <c r="E169" s="2" t="s">
        <v>199</v>
      </c>
      <c r="J169" s="6" t="str">
        <f t="shared" si="2"/>
        <v>Dispari</v>
      </c>
    </row>
    <row r="170" spans="1:10" x14ac:dyDescent="0.4">
      <c r="D170" s="3" t="s">
        <v>258</v>
      </c>
    </row>
    <row r="172" spans="1:10" x14ac:dyDescent="0.4">
      <c r="A172" s="1" t="s">
        <v>100</v>
      </c>
      <c r="B172">
        <f>(SUMIF(J2:J169, "Pari", D2:D169)*0.8 + SUMIF(J2:J169, "Dispari", D2:D169)*0.2) / (COUNTIF(C2:C167,"Sì")/2)</f>
        <v>0.81500000000000006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7C11-A409-D648-892A-9B02F75F65A8}">
  <dimension ref="A1:B3"/>
  <sheetViews>
    <sheetView zoomScale="174" workbookViewId="0">
      <selection activeCell="A9" sqref="A9"/>
    </sheetView>
  </sheetViews>
  <sheetFormatPr defaultColWidth="10.6640625" defaultRowHeight="16" x14ac:dyDescent="0.4"/>
  <cols>
    <col min="1" max="1" width="16.83203125" customWidth="1"/>
  </cols>
  <sheetData>
    <row r="1" spans="1:2" x14ac:dyDescent="0.4">
      <c r="A1" t="s">
        <v>211</v>
      </c>
    </row>
    <row r="3" spans="1:2" x14ac:dyDescent="0.4">
      <c r="A3" t="s">
        <v>212</v>
      </c>
      <c r="B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2025-07-26T17:06:47Z</dcterms:modified>
</cp:coreProperties>
</file>