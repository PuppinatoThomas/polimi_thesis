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ependency_discovery\Gemini\"/>
    </mc:Choice>
  </mc:AlternateContent>
  <xr:revisionPtr revIDLastSave="0" documentId="13_ncr:1_{379933D1-264F-47D7-8FF9-8470D6278276}" xr6:coauthVersionLast="47" xr6:coauthVersionMax="47" xr10:uidLastSave="{00000000-0000-0000-0000-000000000000}"/>
  <bookViews>
    <workbookView xWindow="-110" yWindow="-110" windowWidth="19420" windowHeight="10420" xr2:uid="{EAD53B59-418F-8D4B-A018-4798DC85F046}"/>
  </bookViews>
  <sheets>
    <sheet name="Completeness" sheetId="1" r:id="rId1"/>
    <sheet name="Accuracy" sheetId="2" r:id="rId2"/>
    <sheet name="Prescriptivity" sheetId="3" r:id="rId3"/>
    <sheet name="Readiness" sheetId="4" r:id="rId4"/>
    <sheet name="Flag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G3" i="2"/>
  <c r="F3" i="2" l="1"/>
  <c r="H3" i="2" s="1"/>
  <c r="G4" i="2"/>
  <c r="F2" i="2"/>
  <c r="B3" i="2"/>
  <c r="B2" i="2"/>
  <c r="H3" i="4"/>
  <c r="H4" i="4"/>
  <c r="H5" i="4"/>
  <c r="H2" i="4"/>
  <c r="F4" i="2" l="1"/>
  <c r="H2" i="2"/>
  <c r="H4" i="2" s="1"/>
  <c r="B6" i="2" s="1"/>
  <c r="B5" i="4"/>
  <c r="B4" i="4"/>
  <c r="B3" i="4"/>
  <c r="B2" i="4"/>
  <c r="B3" i="3"/>
  <c r="B2" i="3"/>
  <c r="B6" i="1"/>
  <c r="B6" i="3" l="1"/>
  <c r="B8" i="4"/>
</calcChain>
</file>

<file path=xl/sharedStrings.xml><?xml version="1.0" encoding="utf-8"?>
<sst xmlns="http://schemas.openxmlformats.org/spreadsheetml/2006/main" count="54" uniqueCount="38">
  <si>
    <t>descrittore</t>
  </si>
  <si>
    <t>valutare?</t>
  </si>
  <si>
    <t>check</t>
  </si>
  <si>
    <t>cerca delle functional dependencies</t>
  </si>
  <si>
    <t>Completeness:</t>
  </si>
  <si>
    <t>Sì</t>
  </si>
  <si>
    <t>la strategia per trovare le FD è prescrittiva oppure restituisce le FD trovate</t>
  </si>
  <si>
    <t>cerca delle functional dependencies (A2)</t>
  </si>
  <si>
    <t>Prescriptivity:</t>
  </si>
  <si>
    <t>Readiness:</t>
  </si>
  <si>
    <t>fornisce una strategia per trovare le FD oppure restituisce le FD trovate</t>
  </si>
  <si>
    <t>restituisce le FD trovate</t>
  </si>
  <si>
    <t>Functional Dependencies</t>
  </si>
  <si>
    <t>precision</t>
  </si>
  <si>
    <t>recall</t>
  </si>
  <si>
    <t>Accuarcy (F1-score):</t>
  </si>
  <si>
    <t>F1-score</t>
  </si>
  <si>
    <t>dependencies corrette</t>
  </si>
  <si>
    <t>dependencies sbagliate</t>
  </si>
  <si>
    <t>dependencies mancanti</t>
  </si>
  <si>
    <t>hallucination flag</t>
  </si>
  <si>
    <t>LLM allucina</t>
  </si>
  <si>
    <t>No</t>
  </si>
  <si>
    <t>cerca delle relaxed conditional dependencies (A3)</t>
  </si>
  <si>
    <t>il 90% delle righe ha questa dependency, il resto no</t>
  </si>
  <si>
    <t>cerca delle relaxed functional dependencies</t>
  </si>
  <si>
    <t>Relaxed FD</t>
  </si>
  <si>
    <t>la strategia per trovare le relaxed FD è prescrittiva oppure restituisce le relaxed FD trovate</t>
  </si>
  <si>
    <t>cerca delle relaxed functional dependencies (A3)</t>
  </si>
  <si>
    <t>fornisce una strategia per trovare le relaxed FD oppure restituisce le relaxed FD trovate</t>
  </si>
  <si>
    <t>restituisce le relaxed FD trovate</t>
  </si>
  <si>
    <t xml:space="preserve">price &lt;--&gt; acre_lot &lt;--&gt; house_size </t>
  </si>
  <si>
    <t>(conto 6 FDs in totale)</t>
  </si>
  <si>
    <t>zip_code -&gt; city</t>
  </si>
  <si>
    <t>zip_code -&gt; state</t>
  </si>
  <si>
    <t>state,city -&gt; zip_code</t>
  </si>
  <si>
    <t>Nota</t>
  </si>
  <si>
    <t>brokered_by, street, prev_sold_date sono chiavi, l'individuazione di esse come FD non la conto come errore, ma non sono conteggiate tra le FD corrette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</si>
</sst>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theme="1"/>
      <name val="Helvetica"/>
      <family val="2"/>
    </font>
    <font>
      <sz val="12"/>
      <color theme="1"/>
      <name val="Hel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1" fillId="0" borderId="0" xfId="0" applyFont="1"/>
    <xf numFmtId="0" fontId="5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4ED94-6E2C-2B43-B7B2-5EC88354C320}">
  <dimension ref="A1:C6"/>
  <sheetViews>
    <sheetView tabSelected="1" zoomScale="128" workbookViewId="0">
      <selection activeCell="C4" sqref="C4"/>
    </sheetView>
  </sheetViews>
  <sheetFormatPr defaultColWidth="10.6640625" defaultRowHeight="16"/>
  <cols>
    <col min="1" max="1" width="39.33203125" customWidth="1"/>
    <col min="2" max="3" width="10.83203125" style="1"/>
  </cols>
  <sheetData>
    <row r="1" spans="1:3">
      <c r="A1" t="s">
        <v>0</v>
      </c>
      <c r="B1" s="1" t="s">
        <v>1</v>
      </c>
      <c r="C1" s="1" t="s">
        <v>2</v>
      </c>
    </row>
    <row r="2" spans="1:3">
      <c r="A2" t="s">
        <v>3</v>
      </c>
      <c r="B2" s="1" t="s">
        <v>5</v>
      </c>
      <c r="C2" s="1">
        <v>1</v>
      </c>
    </row>
    <row r="3" spans="1:3">
      <c r="A3" t="s">
        <v>25</v>
      </c>
      <c r="B3" s="1" t="s">
        <v>5</v>
      </c>
      <c r="C3" s="1">
        <v>1</v>
      </c>
    </row>
    <row r="6" spans="1:3">
      <c r="A6" s="2" t="s">
        <v>4</v>
      </c>
      <c r="B6" s="1">
        <f>SUM(C2:C5)/COUNTA(B2:B5)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94E4F-2597-234E-9F86-CD62F0200B9B}">
  <dimension ref="A1:I36"/>
  <sheetViews>
    <sheetView zoomScale="84" workbookViewId="0">
      <selection activeCell="F10" sqref="F10"/>
    </sheetView>
  </sheetViews>
  <sheetFormatPr defaultColWidth="10.6640625" defaultRowHeight="16"/>
  <cols>
    <col min="1" max="1" width="27.5" customWidth="1"/>
    <col min="2" max="2" width="8.83203125" style="1" customWidth="1"/>
    <col min="3" max="3" width="20" style="1" customWidth="1"/>
    <col min="4" max="4" width="20.83203125" style="1" customWidth="1"/>
    <col min="5" max="5" width="21.33203125" style="1" customWidth="1"/>
    <col min="6" max="8" width="10.83203125" style="1"/>
  </cols>
  <sheetData>
    <row r="1" spans="1:9">
      <c r="A1" t="s">
        <v>0</v>
      </c>
      <c r="B1" s="1" t="s">
        <v>1</v>
      </c>
      <c r="C1" s="1" t="s">
        <v>17</v>
      </c>
      <c r="D1" s="1" t="s">
        <v>18</v>
      </c>
      <c r="E1" s="1" t="s">
        <v>19</v>
      </c>
      <c r="F1" s="1" t="s">
        <v>13</v>
      </c>
      <c r="G1" s="1" t="s">
        <v>14</v>
      </c>
      <c r="H1" s="1" t="s">
        <v>16</v>
      </c>
    </row>
    <row r="2" spans="1:9">
      <c r="A2" t="s">
        <v>12</v>
      </c>
      <c r="B2" s="1" t="str">
        <f>IF(Completeness!C2=1,"Sì","No")</f>
        <v>Sì</v>
      </c>
      <c r="C2" s="1">
        <v>0</v>
      </c>
      <c r="D2" s="1">
        <v>3</v>
      </c>
      <c r="E2" s="1">
        <v>3</v>
      </c>
      <c r="F2" s="1">
        <f>IFERROR(C2/(C2+D2),0)</f>
        <v>0</v>
      </c>
      <c r="G2" s="1">
        <f>IFERROR(C2/(C2+E2),0)</f>
        <v>0</v>
      </c>
      <c r="H2" s="1">
        <f>IFERROR((2*F2*G2)/(F2+G2),0)</f>
        <v>0</v>
      </c>
      <c r="I2" t="s">
        <v>7</v>
      </c>
    </row>
    <row r="3" spans="1:9">
      <c r="A3" t="s">
        <v>26</v>
      </c>
      <c r="B3" s="1" t="str">
        <f>IF(Completeness!C3=1,"Sì","No")</f>
        <v>Sì</v>
      </c>
      <c r="C3" s="1">
        <v>2</v>
      </c>
      <c r="D3" s="1">
        <v>1</v>
      </c>
      <c r="E3" s="1">
        <v>4</v>
      </c>
      <c r="F3" s="1">
        <f>IFERROR(C3/(C3+D3),0)</f>
        <v>0.66666666666666663</v>
      </c>
      <c r="G3" s="1">
        <f>IFERROR(C3/(C3+E3),0)</f>
        <v>0.33333333333333331</v>
      </c>
      <c r="H3" s="1">
        <f>IFERROR((2*F3*G3)/(F3+G3),0)</f>
        <v>0.44444444444444442</v>
      </c>
      <c r="I3" t="s">
        <v>23</v>
      </c>
    </row>
    <row r="4" spans="1:9">
      <c r="F4" s="10">
        <f>(F2+F3)/(COUNTIF(B2:B3,"Sì"))</f>
        <v>0.33333333333333331</v>
      </c>
      <c r="G4" s="10">
        <f>(G2+G3)/(COUNTIF(B2:B3,"Sì"))</f>
        <v>0.16666666666666666</v>
      </c>
      <c r="H4" s="10">
        <f>(H2+H3)/(COUNTIF(B2:B3,"Sì"))</f>
        <v>0.22222222222222221</v>
      </c>
    </row>
    <row r="6" spans="1:9">
      <c r="A6" s="2" t="s">
        <v>15</v>
      </c>
      <c r="B6" s="1">
        <f>H4</f>
        <v>0.22222222222222221</v>
      </c>
    </row>
    <row r="8" spans="1:9">
      <c r="A8" s="7"/>
      <c r="C8" s="7"/>
      <c r="E8" s="8"/>
    </row>
    <row r="9" spans="1:9">
      <c r="A9" s="2" t="s">
        <v>12</v>
      </c>
      <c r="C9" s="9" t="s">
        <v>26</v>
      </c>
      <c r="E9" s="9"/>
      <c r="F9" s="12" t="s">
        <v>36</v>
      </c>
    </row>
    <row r="10" spans="1:9">
      <c r="A10" s="7" t="s">
        <v>33</v>
      </c>
      <c r="C10" s="7" t="s">
        <v>31</v>
      </c>
      <c r="E10" s="8"/>
      <c r="F10" s="8" t="s">
        <v>37</v>
      </c>
    </row>
    <row r="11" spans="1:9">
      <c r="A11" s="7" t="s">
        <v>34</v>
      </c>
      <c r="C11" s="7" t="s">
        <v>24</v>
      </c>
      <c r="E11" s="8"/>
    </row>
    <row r="12" spans="1:9">
      <c r="A12" s="7" t="s">
        <v>35</v>
      </c>
      <c r="C12" s="11" t="s">
        <v>32</v>
      </c>
      <c r="E12" s="8"/>
    </row>
    <row r="13" spans="1:9">
      <c r="A13" s="7"/>
      <c r="C13" s="7"/>
      <c r="E13" s="8"/>
    </row>
    <row r="15" spans="1:9">
      <c r="A15" s="7"/>
      <c r="C15" s="7"/>
      <c r="E15" s="8"/>
    </row>
    <row r="16" spans="1:9">
      <c r="A16" s="7"/>
      <c r="C16" s="7"/>
      <c r="E16" s="8"/>
    </row>
    <row r="17" spans="1:5">
      <c r="A17" s="7"/>
      <c r="C17" s="7"/>
      <c r="E17" s="8"/>
    </row>
    <row r="18" spans="1:5">
      <c r="A18" s="7"/>
      <c r="C18" s="7"/>
      <c r="E18" s="8"/>
    </row>
    <row r="19" spans="1:5">
      <c r="A19" s="7"/>
      <c r="C19" s="7"/>
      <c r="E19" s="8"/>
    </row>
    <row r="20" spans="1:5">
      <c r="A20" s="7"/>
      <c r="C20" s="7"/>
      <c r="E20" s="8"/>
    </row>
    <row r="21" spans="1:5">
      <c r="A21" s="7"/>
      <c r="E21" s="8"/>
    </row>
    <row r="22" spans="1:5">
      <c r="A22" s="7"/>
      <c r="E22" s="8"/>
    </row>
    <row r="23" spans="1:5">
      <c r="A23" s="7"/>
      <c r="E23" s="8"/>
    </row>
    <row r="24" spans="1:5">
      <c r="A24" s="7"/>
      <c r="E24" s="8"/>
    </row>
    <row r="25" spans="1:5">
      <c r="A25" s="7"/>
      <c r="E25" s="8"/>
    </row>
    <row r="26" spans="1:5">
      <c r="E26" s="8"/>
    </row>
    <row r="27" spans="1:5">
      <c r="E27" s="8"/>
    </row>
    <row r="28" spans="1:5">
      <c r="E28" s="8"/>
    </row>
    <row r="29" spans="1:5">
      <c r="E29" s="8"/>
    </row>
    <row r="30" spans="1:5">
      <c r="E30" s="8"/>
    </row>
    <row r="31" spans="1:5">
      <c r="E31" s="8"/>
    </row>
    <row r="32" spans="1:5">
      <c r="E32" s="8"/>
    </row>
    <row r="33" spans="5:5">
      <c r="E33" s="8"/>
    </row>
    <row r="34" spans="5:5">
      <c r="E34" s="8"/>
    </row>
    <row r="35" spans="5:5">
      <c r="E35" s="8"/>
    </row>
    <row r="36" spans="5:5">
      <c r="E36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212F8-601F-A145-B0E7-33E0099A4087}">
  <dimension ref="A1:D6"/>
  <sheetViews>
    <sheetView zoomScale="142" workbookViewId="0">
      <selection activeCell="C2" sqref="C2"/>
    </sheetView>
  </sheetViews>
  <sheetFormatPr defaultColWidth="10.6640625" defaultRowHeight="16"/>
  <cols>
    <col min="1" max="1" width="85.1640625" customWidth="1"/>
    <col min="2" max="2" width="9.1640625" customWidth="1"/>
    <col min="3" max="3" width="8.33203125" customWidth="1"/>
  </cols>
  <sheetData>
    <row r="1" spans="1:4">
      <c r="A1" t="s">
        <v>0</v>
      </c>
      <c r="B1" s="1" t="s">
        <v>1</v>
      </c>
      <c r="C1" s="1" t="s">
        <v>2</v>
      </c>
    </row>
    <row r="2" spans="1:4">
      <c r="A2" t="s">
        <v>6</v>
      </c>
      <c r="B2" s="1" t="str">
        <f>IF(Completeness!C2=1,"Sì","No")</f>
        <v>Sì</v>
      </c>
      <c r="C2" s="1">
        <v>1</v>
      </c>
      <c r="D2" t="s">
        <v>7</v>
      </c>
    </row>
    <row r="3" spans="1:4">
      <c r="A3" t="s">
        <v>27</v>
      </c>
      <c r="B3" s="1" t="str">
        <f>IF(Completeness!C3=1,"Sì","No")</f>
        <v>Sì</v>
      </c>
      <c r="C3" s="1">
        <v>1</v>
      </c>
      <c r="D3" t="s">
        <v>28</v>
      </c>
    </row>
    <row r="4" spans="1:4">
      <c r="B4" s="1"/>
      <c r="C4" s="1"/>
    </row>
    <row r="5" spans="1:4">
      <c r="B5" s="1"/>
      <c r="C5" s="1"/>
    </row>
    <row r="6" spans="1:4">
      <c r="A6" s="2" t="s">
        <v>8</v>
      </c>
      <c r="B6">
        <f>SUM(C2:C3)/COUNTIF(B2:B3,"Sì")</f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285FF-BAB4-B140-9019-E38324D33231}">
  <dimension ref="A1:H11"/>
  <sheetViews>
    <sheetView topLeftCell="B1" zoomScale="172" workbookViewId="0">
      <selection activeCell="C6" sqref="C6"/>
    </sheetView>
  </sheetViews>
  <sheetFormatPr defaultColWidth="10.6640625" defaultRowHeight="16"/>
  <cols>
    <col min="1" max="1" width="69.33203125" customWidth="1"/>
    <col min="2" max="2" width="10" customWidth="1"/>
    <col min="3" max="3" width="9.1640625" customWidth="1"/>
  </cols>
  <sheetData>
    <row r="1" spans="1:8">
      <c r="A1" s="3" t="s">
        <v>0</v>
      </c>
      <c r="B1" s="4" t="s">
        <v>1</v>
      </c>
      <c r="C1" s="4" t="s">
        <v>2</v>
      </c>
      <c r="D1" s="3"/>
    </row>
    <row r="2" spans="1:8">
      <c r="A2" s="3" t="s">
        <v>10</v>
      </c>
      <c r="B2" s="4" t="str">
        <f>IF(Completeness!C2=1,"Sì","No")</f>
        <v>Sì</v>
      </c>
      <c r="C2" s="4">
        <v>1</v>
      </c>
      <c r="D2" s="3" t="s">
        <v>7</v>
      </c>
      <c r="H2" s="6" t="str">
        <f>IF(MOD(ROW(), 2)=0, "Pari", "Dispari")</f>
        <v>Pari</v>
      </c>
    </row>
    <row r="3" spans="1:8">
      <c r="A3" s="3" t="s">
        <v>11</v>
      </c>
      <c r="B3" s="4" t="str">
        <f>IF(Completeness!C2=1,"Sì","No")</f>
        <v>Sì</v>
      </c>
      <c r="C3" s="4">
        <v>1</v>
      </c>
      <c r="D3" s="3" t="s">
        <v>7</v>
      </c>
      <c r="H3" s="6" t="str">
        <f t="shared" ref="H3:H5" si="0">IF(MOD(ROW(), 2)=0, "Pari", "Dispari")</f>
        <v>Dispari</v>
      </c>
    </row>
    <row r="4" spans="1:8">
      <c r="A4" s="3" t="s">
        <v>29</v>
      </c>
      <c r="B4" s="4" t="str">
        <f>IF(Completeness!C3=1,"Sì","No")</f>
        <v>Sì</v>
      </c>
      <c r="C4" s="4">
        <v>1</v>
      </c>
      <c r="D4" s="3" t="s">
        <v>28</v>
      </c>
      <c r="H4" s="6" t="str">
        <f t="shared" si="0"/>
        <v>Pari</v>
      </c>
    </row>
    <row r="5" spans="1:8">
      <c r="A5" s="3" t="s">
        <v>30</v>
      </c>
      <c r="B5" s="4" t="str">
        <f>IF(Completeness!C3=1,"Sì","No")</f>
        <v>Sì</v>
      </c>
      <c r="C5" s="4">
        <v>1</v>
      </c>
      <c r="D5" s="3" t="s">
        <v>28</v>
      </c>
      <c r="H5" s="6" t="str">
        <f t="shared" si="0"/>
        <v>Dispari</v>
      </c>
    </row>
    <row r="6" spans="1:8">
      <c r="A6" s="3"/>
      <c r="B6" s="4"/>
      <c r="C6" s="4"/>
      <c r="D6" s="3"/>
      <c r="H6" s="6"/>
    </row>
    <row r="7" spans="1:8">
      <c r="A7" s="3"/>
      <c r="B7" s="4"/>
      <c r="C7" s="4"/>
      <c r="D7" s="3"/>
      <c r="H7" s="6"/>
    </row>
    <row r="8" spans="1:8">
      <c r="A8" s="5" t="s">
        <v>9</v>
      </c>
      <c r="B8" s="3">
        <f>(SUMIF(H2:H5, "Pari", C2:C5)*0.8 + SUMIF(H2:H5, "Dispari", C2:C5)*0.2) / (COUNTIF(B2:B5,"Sì")/2)</f>
        <v>1</v>
      </c>
      <c r="C8" s="4"/>
      <c r="D8" s="3"/>
      <c r="H8" s="6"/>
    </row>
    <row r="9" spans="1:8">
      <c r="A9" s="3"/>
      <c r="B9" s="4"/>
      <c r="C9" s="4"/>
      <c r="D9" s="3"/>
      <c r="H9" s="6"/>
    </row>
    <row r="10" spans="1:8">
      <c r="C10" s="3"/>
      <c r="D10" s="3"/>
    </row>
    <row r="11" spans="1:8">
      <c r="A11" s="3"/>
      <c r="B11" s="3"/>
      <c r="C11" s="3"/>
      <c r="D11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074F8-E26A-BD42-A97D-4BD971AC1B9C}">
  <dimension ref="A1:B3"/>
  <sheetViews>
    <sheetView zoomScale="142" workbookViewId="0">
      <selection activeCell="B3" sqref="B3"/>
    </sheetView>
  </sheetViews>
  <sheetFormatPr defaultColWidth="10.6640625" defaultRowHeight="16"/>
  <cols>
    <col min="1" max="1" width="15.83203125" customWidth="1"/>
  </cols>
  <sheetData>
    <row r="1" spans="1:2">
      <c r="A1" t="s">
        <v>20</v>
      </c>
    </row>
    <row r="3" spans="1:2">
      <c r="A3" t="s">
        <v>21</v>
      </c>
      <c r="B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Completeness</vt:lpstr>
      <vt:lpstr>Accuracy</vt:lpstr>
      <vt:lpstr>Prescriptivity</vt:lpstr>
      <vt:lpstr>Readiness</vt:lpstr>
      <vt:lpstr>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2024-11-29T11:55:24Z</dcterms:created>
  <dcterms:modified xsi:type="dcterms:W3CDTF">2025-10-16T10:13:12Z</dcterms:modified>
</cp:coreProperties>
</file>