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cleaning\GPT\"/>
    </mc:Choice>
  </mc:AlternateContent>
  <xr:revisionPtr revIDLastSave="0" documentId="13_ncr:1_{DEE76854-1628-4EA9-A505-9CCFC9BEC9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" i="1" l="1"/>
  <c r="F68" i="1"/>
  <c r="G68" i="1"/>
  <c r="H68" i="1"/>
  <c r="E69" i="1"/>
  <c r="F69" i="1"/>
  <c r="G69" i="1"/>
  <c r="H69" i="1"/>
  <c r="E70" i="1"/>
  <c r="F70" i="1"/>
  <c r="G70" i="1"/>
  <c r="H70" i="1"/>
  <c r="E71" i="1"/>
  <c r="F71" i="1"/>
  <c r="G71" i="1"/>
  <c r="H71" i="1"/>
  <c r="E63" i="1"/>
  <c r="F63" i="1"/>
  <c r="G63" i="1"/>
  <c r="H63" i="1"/>
  <c r="E64" i="1"/>
  <c r="F64" i="1"/>
  <c r="G64" i="1"/>
  <c r="H64" i="1"/>
  <c r="E65" i="1"/>
  <c r="F65" i="1"/>
  <c r="G65" i="1"/>
  <c r="H65" i="1"/>
  <c r="E66" i="1"/>
  <c r="F66" i="1"/>
  <c r="G66" i="1"/>
  <c r="H66" i="1"/>
  <c r="E67" i="1"/>
  <c r="F67" i="1"/>
  <c r="G67" i="1"/>
  <c r="H67" i="1"/>
  <c r="E72" i="1"/>
  <c r="F72" i="1"/>
  <c r="G72" i="1"/>
  <c r="H72" i="1"/>
  <c r="E73" i="1"/>
  <c r="F73" i="1"/>
  <c r="G73" i="1"/>
  <c r="H73" i="1"/>
  <c r="E74" i="1"/>
  <c r="F74" i="1"/>
  <c r="G74" i="1"/>
  <c r="H74" i="1"/>
  <c r="E75" i="1"/>
  <c r="F75" i="1"/>
  <c r="G75" i="1"/>
  <c r="H75" i="1"/>
  <c r="E76" i="1"/>
  <c r="F76" i="1"/>
  <c r="G76" i="1"/>
  <c r="H76" i="1"/>
  <c r="E77" i="1"/>
  <c r="F77" i="1"/>
  <c r="G77" i="1"/>
  <c r="H77" i="1"/>
  <c r="E78" i="1"/>
  <c r="F78" i="1"/>
  <c r="G78" i="1"/>
  <c r="H78" i="1"/>
  <c r="E79" i="1"/>
  <c r="F79" i="1"/>
  <c r="G79" i="1"/>
  <c r="H79" i="1"/>
  <c r="E80" i="1"/>
  <c r="F80" i="1"/>
  <c r="G80" i="1"/>
  <c r="H80" i="1"/>
  <c r="G93" i="1"/>
  <c r="G94" i="1"/>
  <c r="G95" i="1"/>
  <c r="G96" i="1"/>
  <c r="F93" i="1"/>
  <c r="F94" i="1"/>
  <c r="F95" i="1"/>
  <c r="F96" i="1"/>
  <c r="E93" i="1"/>
  <c r="E94" i="1"/>
  <c r="E95" i="1"/>
  <c r="E96" i="1"/>
  <c r="H100" i="1" l="1"/>
  <c r="I45" i="1"/>
  <c r="I59" i="1"/>
  <c r="E84" i="1"/>
  <c r="E85" i="1"/>
  <c r="E86" i="1"/>
  <c r="E87" i="1"/>
  <c r="E88" i="1"/>
  <c r="E89" i="1"/>
  <c r="E90" i="1"/>
  <c r="E91" i="1"/>
  <c r="E92" i="1"/>
  <c r="E97" i="1"/>
  <c r="E98" i="1"/>
  <c r="E99" i="1"/>
  <c r="E100" i="1"/>
  <c r="F85" i="1"/>
  <c r="F86" i="1"/>
  <c r="F87" i="1"/>
  <c r="F90" i="1"/>
  <c r="F91" i="1"/>
  <c r="F92" i="1"/>
  <c r="F97" i="1"/>
  <c r="F98" i="1"/>
  <c r="F99" i="1"/>
  <c r="G84" i="1"/>
  <c r="G85" i="1"/>
  <c r="G86" i="1"/>
  <c r="G87" i="1"/>
  <c r="G88" i="1"/>
  <c r="G89" i="1"/>
  <c r="G90" i="1"/>
  <c r="G91" i="1"/>
  <c r="G92" i="1"/>
  <c r="F100" i="1"/>
  <c r="F84" i="1"/>
  <c r="H87" i="1"/>
  <c r="H88" i="1"/>
  <c r="H89" i="1"/>
  <c r="H90" i="1"/>
  <c r="H91" i="1"/>
  <c r="H92" i="1"/>
  <c r="H93" i="1"/>
  <c r="H94" i="1"/>
  <c r="H96" i="1"/>
  <c r="H97" i="1"/>
  <c r="H98" i="1"/>
  <c r="H99" i="1"/>
  <c r="H95" i="1"/>
  <c r="H83" i="1"/>
  <c r="H84" i="1"/>
  <c r="I53" i="1"/>
  <c r="J50" i="1" l="1"/>
  <c r="J51" i="1"/>
  <c r="J52" i="1"/>
  <c r="J53" i="1"/>
  <c r="J55" i="1"/>
  <c r="J56" i="1"/>
  <c r="J57" i="1"/>
  <c r="J58" i="1"/>
  <c r="J59" i="1"/>
  <c r="I49" i="1" l="1"/>
  <c r="I55" i="1"/>
  <c r="J42" i="1"/>
  <c r="I36" i="1"/>
  <c r="J36" i="1"/>
  <c r="J23" i="1"/>
  <c r="J38" i="1"/>
  <c r="J37" i="1"/>
  <c r="J35" i="1"/>
  <c r="J33" i="1"/>
  <c r="J32" i="1"/>
  <c r="J31" i="1"/>
  <c r="J30" i="1"/>
  <c r="J29" i="1"/>
  <c r="J27" i="1"/>
  <c r="J26" i="1"/>
  <c r="J25" i="1"/>
  <c r="J22" i="1"/>
  <c r="I24" i="1"/>
  <c r="J24" i="1" s="1"/>
  <c r="I2" i="1"/>
  <c r="J14" i="1"/>
  <c r="I15" i="1"/>
  <c r="J43" i="1" l="1"/>
  <c r="J45" i="1"/>
  <c r="J46" i="1"/>
  <c r="J48" i="1"/>
  <c r="J49" i="1"/>
  <c r="J3" i="1"/>
  <c r="J5" i="1"/>
  <c r="J6" i="1"/>
  <c r="J7" i="1"/>
  <c r="J9" i="1"/>
  <c r="J10" i="1"/>
  <c r="J11" i="1"/>
  <c r="J13" i="1"/>
  <c r="J15" i="1"/>
  <c r="J16" i="1"/>
  <c r="J2" i="1"/>
  <c r="I43" i="1"/>
  <c r="I44" i="1"/>
  <c r="J44" i="1" s="1"/>
  <c r="I46" i="1"/>
  <c r="I47" i="1"/>
  <c r="J47" i="1" s="1"/>
  <c r="I48" i="1"/>
  <c r="I50" i="1"/>
  <c r="I51" i="1"/>
  <c r="I52" i="1"/>
  <c r="I54" i="1"/>
  <c r="I56" i="1"/>
  <c r="I57" i="1"/>
  <c r="I58" i="1"/>
  <c r="I42" i="1"/>
  <c r="I23" i="1"/>
  <c r="I25" i="1"/>
  <c r="I26" i="1"/>
  <c r="I27" i="1"/>
  <c r="I28" i="1"/>
  <c r="J28" i="1" s="1"/>
  <c r="I29" i="1"/>
  <c r="I30" i="1"/>
  <c r="I31" i="1"/>
  <c r="I32" i="1"/>
  <c r="I33" i="1"/>
  <c r="I34" i="1"/>
  <c r="J34" i="1" s="1"/>
  <c r="I35" i="1"/>
  <c r="I37" i="1"/>
  <c r="I38" i="1"/>
  <c r="I39" i="1"/>
  <c r="J39" i="1" s="1"/>
  <c r="I22" i="1"/>
  <c r="I4" i="1"/>
  <c r="J4" i="1" s="1"/>
  <c r="I5" i="1"/>
  <c r="I6" i="1"/>
  <c r="I7" i="1"/>
  <c r="I8" i="1"/>
  <c r="J8" i="1" s="1"/>
  <c r="I9" i="1"/>
  <c r="I10" i="1"/>
  <c r="I11" i="1"/>
  <c r="I12" i="1"/>
  <c r="J12" i="1" s="1"/>
  <c r="I13" i="1"/>
  <c r="I14" i="1"/>
  <c r="I16" i="1"/>
  <c r="I17" i="1"/>
  <c r="J17" i="1" s="1"/>
  <c r="I18" i="1"/>
  <c r="J18" i="1" s="1"/>
  <c r="I19" i="1"/>
  <c r="J19" i="1" s="1"/>
  <c r="I3" i="1"/>
  <c r="E83" i="1"/>
  <c r="G83" i="1" l="1"/>
  <c r="G98" i="1"/>
  <c r="G99" i="1"/>
  <c r="G100" i="1"/>
  <c r="G97" i="1" l="1"/>
  <c r="F88" i="1"/>
  <c r="F83" i="1"/>
  <c r="F89" i="1" l="1"/>
</calcChain>
</file>

<file path=xl/sharedStrings.xml><?xml version="1.0" encoding="utf-8"?>
<sst xmlns="http://schemas.openxmlformats.org/spreadsheetml/2006/main" count="348" uniqueCount="30">
  <si>
    <t xml:space="preserve">Subtask </t>
  </si>
  <si>
    <t xml:space="preserve">Dirtiness </t>
  </si>
  <si>
    <t xml:space="preserve">Metric </t>
  </si>
  <si>
    <t xml:space="preserve">OUT </t>
  </si>
  <si>
    <t xml:space="preserve">COM </t>
  </si>
  <si>
    <t xml:space="preserve">ACC </t>
  </si>
  <si>
    <t xml:space="preserve">PRE </t>
  </si>
  <si>
    <t xml:space="preserve">REA </t>
  </si>
  <si>
    <t xml:space="preserve">SPE </t>
  </si>
  <si>
    <t xml:space="preserve">STA </t>
  </si>
  <si>
    <t xml:space="preserve">IMP </t>
  </si>
  <si>
    <t xml:space="preserve">N/A </t>
  </si>
  <si>
    <t xml:space="preserve">DED </t>
  </si>
  <si>
    <t xml:space="preserve">Mean </t>
  </si>
  <si>
    <t xml:space="preserve">CV </t>
  </si>
  <si>
    <t>Mean</t>
  </si>
  <si>
    <t>CV</t>
  </si>
  <si>
    <t>BEST MODEL</t>
  </si>
  <si>
    <t>FEW</t>
  </si>
  <si>
    <r>
      <rPr>
        <b/>
        <sz val="12"/>
        <color rgb="FF7030A0"/>
        <rFont val="SFRM1200"/>
      </rPr>
      <t>5_ZERO</t>
    </r>
    <r>
      <rPr>
        <b/>
        <sz val="12"/>
        <color theme="5"/>
        <rFont val="SFRM1200"/>
      </rPr>
      <t>, DET</t>
    </r>
    <r>
      <rPr>
        <b/>
        <sz val="12"/>
        <color theme="9" tint="-0.249977111117893"/>
        <rFont val="SFRM1200"/>
      </rPr>
      <t xml:space="preserve">, KNO, </t>
    </r>
    <r>
      <rPr>
        <b/>
        <sz val="12"/>
        <color theme="4"/>
        <rFont val="SFRM1200"/>
      </rPr>
      <t>FEW</t>
    </r>
  </si>
  <si>
    <r>
      <rPr>
        <b/>
        <sz val="12"/>
        <color rgb="FF7030A0"/>
        <rFont val="SFRM1200"/>
      </rPr>
      <t>5_ZERO</t>
    </r>
    <r>
      <rPr>
        <b/>
        <sz val="12"/>
        <color theme="9" tint="-0.249977111117893"/>
        <rFont val="SFRM1200"/>
      </rPr>
      <t>, KNO</t>
    </r>
  </si>
  <si>
    <r>
      <rPr>
        <b/>
        <sz val="12"/>
        <color rgb="FF7030A0"/>
        <rFont val="SFRM1200"/>
      </rPr>
      <t>5_ZERO</t>
    </r>
    <r>
      <rPr>
        <b/>
        <sz val="12"/>
        <color theme="5"/>
        <rFont val="SFRM1200"/>
      </rPr>
      <t>, DET</t>
    </r>
    <r>
      <rPr>
        <b/>
        <sz val="12"/>
        <color theme="9" tint="-0.249977111117893"/>
        <rFont val="SFRM1200"/>
      </rPr>
      <t>, KNO</t>
    </r>
  </si>
  <si>
    <t>5_ZERO</t>
  </si>
  <si>
    <r>
      <rPr>
        <b/>
        <sz val="12"/>
        <color theme="5"/>
        <rFont val="SFRM1200"/>
      </rPr>
      <t xml:space="preserve">DET, </t>
    </r>
    <r>
      <rPr>
        <b/>
        <sz val="12"/>
        <color theme="9" tint="-0.249977111117893"/>
        <rFont val="SFRM1200"/>
      </rPr>
      <t>KNO</t>
    </r>
  </si>
  <si>
    <r>
      <rPr>
        <b/>
        <sz val="12"/>
        <color theme="5"/>
        <rFont val="SFRM1200"/>
      </rPr>
      <t xml:space="preserve">DET, </t>
    </r>
    <r>
      <rPr>
        <b/>
        <sz val="12"/>
        <color theme="4"/>
        <rFont val="SFRM1200"/>
      </rPr>
      <t>FEW</t>
    </r>
  </si>
  <si>
    <t>4o_ZERO</t>
  </si>
  <si>
    <t>4o_
ZERO</t>
  </si>
  <si>
    <t>5_
ZERO</t>
  </si>
  <si>
    <t>DET</t>
  </si>
  <si>
    <t>KNO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</si>
</sst>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\ _€"/>
  </numFmts>
  <fonts count="20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sz val="12"/>
      <color rgb="FFDC0000"/>
      <name val="SFRM1200"/>
    </font>
    <font>
      <sz val="12"/>
      <color rgb="FFCC7722"/>
      <name val="SFRM1200"/>
    </font>
    <font>
      <sz val="12"/>
      <color rgb="FF1EAA00"/>
      <name val="SFRM1200"/>
    </font>
    <font>
      <sz val="12"/>
      <color rgb="FF8B4513"/>
      <name val="SFRM1200"/>
    </font>
    <font>
      <sz val="12"/>
      <color rgb="FF000000"/>
      <name val="SFRM1200"/>
    </font>
    <font>
      <b/>
      <sz val="12"/>
      <color rgb="FFDC0000"/>
      <name val="SFBX1200"/>
    </font>
    <font>
      <b/>
      <sz val="12"/>
      <color rgb="FFCC7722"/>
      <name val="SFBX1200"/>
    </font>
    <font>
      <b/>
      <sz val="12"/>
      <color rgb="FF1EAA00"/>
      <name val="SFBX1200"/>
    </font>
    <font>
      <b/>
      <sz val="12"/>
      <color rgb="FF8B4513"/>
      <name val="SFBX1200"/>
    </font>
    <font>
      <b/>
      <sz val="12"/>
      <color rgb="FFDC0000"/>
      <name val="SFRM1200"/>
    </font>
    <font>
      <b/>
      <sz val="12"/>
      <color rgb="FFFF0000"/>
      <name val="SFRM1200"/>
    </font>
    <font>
      <b/>
      <sz val="12"/>
      <color theme="1"/>
      <name val="SFRM1200"/>
    </font>
    <font>
      <b/>
      <sz val="12"/>
      <color theme="4"/>
      <name val="SFRM1200"/>
    </font>
    <font>
      <b/>
      <sz val="12"/>
      <color theme="5"/>
      <name val="SFRM1200"/>
    </font>
    <font>
      <b/>
      <sz val="12"/>
      <color theme="9" tint="-0.249977111117893"/>
      <name val="SFRM1200"/>
    </font>
    <font>
      <b/>
      <sz val="12"/>
      <color rgb="FF7030A0"/>
      <name val="SFRM1200"/>
    </font>
    <font>
      <b/>
      <sz val="12"/>
      <color rgb="FF00B050"/>
      <name val="SFRM1200"/>
    </font>
    <font>
      <b/>
      <sz val="12"/>
      <color rgb="FF00B050"/>
      <name val="SFBX1200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6" fillId="0" borderId="0" xfId="0" applyFont="1"/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164" fontId="9" fillId="0" borderId="1" xfId="0" applyNumberFormat="1" applyFont="1" applyBorder="1" applyAlignment="1">
      <alignment vertical="center" wrapText="1"/>
    </xf>
    <xf numFmtId="164" fontId="8" fillId="0" borderId="1" xfId="0" applyNumberFormat="1" applyFont="1" applyBorder="1" applyAlignment="1">
      <alignment vertical="center" wrapText="1"/>
    </xf>
    <xf numFmtId="1" fontId="9" fillId="0" borderId="1" xfId="0" applyNumberFormat="1" applyFont="1" applyBorder="1" applyAlignment="1">
      <alignment vertical="center" wrapText="1"/>
    </xf>
    <xf numFmtId="164" fontId="11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64" fontId="9" fillId="2" borderId="1" xfId="0" applyNumberFormat="1" applyFont="1" applyFill="1" applyBorder="1" applyAlignment="1">
      <alignment vertical="center" wrapText="1"/>
    </xf>
    <xf numFmtId="164" fontId="8" fillId="2" borderId="1" xfId="0" applyNumberFormat="1" applyFont="1" applyFill="1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2" fontId="7" fillId="2" borderId="1" xfId="0" applyNumberFormat="1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1" fontId="0" fillId="0" borderId="0" xfId="0" applyNumberFormat="1"/>
    <xf numFmtId="1" fontId="9" fillId="2" borderId="1" xfId="0" applyNumberFormat="1" applyFont="1" applyFill="1" applyBorder="1" applyAlignment="1">
      <alignment vertical="center" wrapText="1"/>
    </xf>
    <xf numFmtId="166" fontId="0" fillId="0" borderId="0" xfId="0" applyNumberFormat="1"/>
    <xf numFmtId="166" fontId="8" fillId="2" borderId="1" xfId="0" applyNumberFormat="1" applyFont="1" applyFill="1" applyBorder="1" applyAlignment="1">
      <alignment vertical="center" wrapText="1"/>
    </xf>
    <xf numFmtId="165" fontId="9" fillId="2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165" fontId="9" fillId="3" borderId="1" xfId="0" applyNumberFormat="1" applyFont="1" applyFill="1" applyBorder="1" applyAlignment="1">
      <alignment vertical="center" wrapText="1"/>
    </xf>
    <xf numFmtId="164" fontId="7" fillId="3" borderId="1" xfId="0" applyNumberFormat="1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2" fontId="7" fillId="3" borderId="1" xfId="0" applyNumberFormat="1" applyFont="1" applyFill="1" applyBorder="1" applyAlignment="1">
      <alignment vertical="center" wrapText="1"/>
    </xf>
    <xf numFmtId="9" fontId="1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65" fontId="8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2" fontId="9" fillId="2" borderId="1" xfId="0" applyNumberFormat="1" applyFont="1" applyFill="1" applyBorder="1" applyAlignment="1">
      <alignment vertical="center" wrapText="1"/>
    </xf>
    <xf numFmtId="164" fontId="11" fillId="2" borderId="1" xfId="0" applyNumberFormat="1" applyFont="1" applyFill="1" applyBorder="1" applyAlignment="1">
      <alignment vertical="center" wrapText="1"/>
    </xf>
    <xf numFmtId="164" fontId="3" fillId="2" borderId="1" xfId="0" applyNumberFormat="1" applyFont="1" applyFill="1" applyBorder="1" applyAlignment="1">
      <alignment vertical="center" wrapText="1"/>
    </xf>
    <xf numFmtId="2" fontId="4" fillId="0" borderId="1" xfId="0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2" fontId="8" fillId="2" borderId="1" xfId="0" applyNumberFormat="1" applyFont="1" applyFill="1" applyBorder="1" applyAlignment="1">
      <alignment vertical="center" wrapText="1"/>
    </xf>
    <xf numFmtId="2" fontId="11" fillId="2" borderId="1" xfId="0" applyNumberFormat="1" applyFont="1" applyFill="1" applyBorder="1" applyAlignment="1">
      <alignment vertical="center" wrapText="1"/>
    </xf>
    <xf numFmtId="165" fontId="11" fillId="2" borderId="1" xfId="0" applyNumberFormat="1" applyFont="1" applyFill="1" applyBorder="1" applyAlignment="1">
      <alignment vertical="center" wrapText="1"/>
    </xf>
    <xf numFmtId="2" fontId="11" fillId="3" borderId="1" xfId="0" applyNumberFormat="1" applyFont="1" applyFill="1" applyBorder="1" applyAlignment="1">
      <alignment vertical="center" wrapText="1"/>
    </xf>
    <xf numFmtId="165" fontId="8" fillId="3" borderId="1" xfId="0" applyNumberFormat="1" applyFont="1" applyFill="1" applyBorder="1" applyAlignment="1">
      <alignment vertical="center" wrapText="1"/>
    </xf>
    <xf numFmtId="164" fontId="11" fillId="3" borderId="1" xfId="0" applyNumberFormat="1" applyFont="1" applyFill="1" applyBorder="1" applyAlignment="1">
      <alignment vertical="center" wrapText="1"/>
    </xf>
    <xf numFmtId="164" fontId="9" fillId="3" borderId="1" xfId="0" applyNumberFormat="1" applyFont="1" applyFill="1" applyBorder="1" applyAlignment="1">
      <alignment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8" fillId="3" borderId="1" xfId="0" applyNumberFormat="1" applyFont="1" applyFill="1" applyBorder="1" applyAlignment="1">
      <alignment vertical="center" wrapText="1"/>
    </xf>
    <xf numFmtId="165" fontId="11" fillId="3" borderId="1" xfId="0" applyNumberFormat="1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vertical="center" wrapText="1"/>
    </xf>
    <xf numFmtId="1" fontId="11" fillId="0" borderId="1" xfId="0" applyNumberFormat="1" applyFont="1" applyBorder="1" applyAlignment="1">
      <alignment vertical="center" wrapText="1"/>
    </xf>
    <xf numFmtId="2" fontId="0" fillId="0" borderId="0" xfId="0" applyNumberFormat="1"/>
    <xf numFmtId="2" fontId="7" fillId="0" borderId="1" xfId="0" applyNumberFormat="1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1" fontId="9" fillId="3" borderId="1" xfId="0" applyNumberFormat="1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165" fontId="18" fillId="2" borderId="1" xfId="0" applyNumberFormat="1" applyFont="1" applyFill="1" applyBorder="1" applyAlignment="1">
      <alignment vertical="center" wrapText="1"/>
    </xf>
    <xf numFmtId="164" fontId="18" fillId="2" borderId="1" xfId="0" applyNumberFormat="1" applyFont="1" applyFill="1" applyBorder="1" applyAlignment="1">
      <alignment vertical="center" wrapText="1"/>
    </xf>
    <xf numFmtId="164" fontId="19" fillId="2" borderId="1" xfId="0" applyNumberFormat="1" applyFont="1" applyFill="1" applyBorder="1" applyAlignment="1">
      <alignment vertical="center" wrapText="1"/>
    </xf>
    <xf numFmtId="2" fontId="9" fillId="0" borderId="1" xfId="0" applyNumberFormat="1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zoomScale="70" zoomScaleNormal="118" workbookViewId="0">
      <selection activeCell="D62" sqref="D62:H62"/>
    </sheetView>
  </sheetViews>
  <sheetFormatPr defaultRowHeight="14.5"/>
  <cols>
    <col min="2" max="2" width="10.6328125" customWidth="1"/>
    <col min="4" max="4" width="19.90625" customWidth="1"/>
    <col min="5" max="5" width="19.36328125" customWidth="1"/>
    <col min="6" max="6" width="19" customWidth="1"/>
    <col min="7" max="7" width="22.453125" customWidth="1"/>
    <col min="8" max="8" width="15.36328125" customWidth="1"/>
    <col min="9" max="9" width="13.26953125" customWidth="1"/>
    <col min="10" max="10" width="12" customWidth="1"/>
    <col min="11" max="11" width="69.54296875" customWidth="1"/>
  </cols>
  <sheetData>
    <row r="1" spans="1:10" ht="31">
      <c r="A1" s="1" t="s">
        <v>0</v>
      </c>
      <c r="B1" s="1" t="s">
        <v>1</v>
      </c>
      <c r="C1" s="1" t="s">
        <v>2</v>
      </c>
      <c r="D1" s="79" t="s">
        <v>26</v>
      </c>
      <c r="E1" s="79" t="s">
        <v>27</v>
      </c>
      <c r="F1" s="79" t="s">
        <v>28</v>
      </c>
      <c r="G1" s="79" t="s">
        <v>29</v>
      </c>
      <c r="H1" s="79" t="s">
        <v>18</v>
      </c>
      <c r="I1" s="1" t="s">
        <v>15</v>
      </c>
      <c r="J1" s="1" t="s">
        <v>16</v>
      </c>
    </row>
    <row r="2" spans="1:10" ht="15.5">
      <c r="A2" s="1" t="s">
        <v>3</v>
      </c>
      <c r="B2" s="2">
        <v>0.1</v>
      </c>
      <c r="C2" s="1" t="s">
        <v>4</v>
      </c>
      <c r="D2" s="3">
        <v>0</v>
      </c>
      <c r="E2" s="53">
        <v>0.2</v>
      </c>
      <c r="F2" s="4">
        <v>0.6</v>
      </c>
      <c r="G2" s="4">
        <v>0.6</v>
      </c>
      <c r="H2" s="5">
        <v>1</v>
      </c>
      <c r="I2" s="58">
        <f>AVERAGE(D2,E2,F2,G2,H2)</f>
        <v>0.48</v>
      </c>
      <c r="J2" s="17">
        <f>_xlfn.STDEV.P(D2,E2,F2,G2,H2)/I2</f>
        <v>0.72648315725677903</v>
      </c>
    </row>
    <row r="3" spans="1:10" ht="15.5">
      <c r="A3" s="1" t="s">
        <v>3</v>
      </c>
      <c r="B3" s="2">
        <v>0.1</v>
      </c>
      <c r="C3" s="1" t="s">
        <v>5</v>
      </c>
      <c r="D3" s="7" t="s">
        <v>11</v>
      </c>
      <c r="E3" s="29">
        <v>0.308</v>
      </c>
      <c r="F3" s="29">
        <v>0.34399999999999997</v>
      </c>
      <c r="G3" s="6">
        <v>0.57099999999999995</v>
      </c>
      <c r="H3" s="5">
        <v>0.73699999999999999</v>
      </c>
      <c r="I3" s="58">
        <f>AVERAGE(D3,E3,F3,G3,H3)</f>
        <v>0.49</v>
      </c>
      <c r="J3" s="17">
        <f t="shared" ref="J3:J18" si="0">_xlfn.STDEV.P(D3,E3,F3,G3,H3)/I3</f>
        <v>0.35642785571070423</v>
      </c>
    </row>
    <row r="4" spans="1:10" ht="15.5">
      <c r="A4" s="1" t="s">
        <v>3</v>
      </c>
      <c r="B4" s="2">
        <v>0.1</v>
      </c>
      <c r="C4" s="1" t="s">
        <v>6</v>
      </c>
      <c r="D4" s="7" t="s">
        <v>11</v>
      </c>
      <c r="E4" s="5">
        <v>1</v>
      </c>
      <c r="F4" s="5">
        <v>1</v>
      </c>
      <c r="G4" s="5">
        <v>1</v>
      </c>
      <c r="H4" s="3">
        <v>0</v>
      </c>
      <c r="I4" s="41">
        <f t="shared" ref="I4:I19" si="1">AVERAGE(D4,E4,F4,G4,H4)</f>
        <v>0.75</v>
      </c>
      <c r="J4" s="17">
        <f t="shared" si="0"/>
        <v>0.57735026918962573</v>
      </c>
    </row>
    <row r="5" spans="1:10" ht="15.5">
      <c r="A5" s="1" t="s">
        <v>3</v>
      </c>
      <c r="B5" s="2">
        <v>0.1</v>
      </c>
      <c r="C5" s="1" t="s">
        <v>7</v>
      </c>
      <c r="D5" s="7" t="s">
        <v>11</v>
      </c>
      <c r="E5" s="5">
        <v>0.8</v>
      </c>
      <c r="F5" s="5">
        <v>0.8</v>
      </c>
      <c r="G5" s="5">
        <v>0.8</v>
      </c>
      <c r="H5" s="3">
        <v>0</v>
      </c>
      <c r="I5" s="59">
        <f t="shared" si="1"/>
        <v>0.60000000000000009</v>
      </c>
      <c r="J5" s="17">
        <f t="shared" si="0"/>
        <v>0.57735026918962573</v>
      </c>
    </row>
    <row r="6" spans="1:10" ht="15.5">
      <c r="A6" s="1" t="s">
        <v>3</v>
      </c>
      <c r="B6" s="2">
        <v>0.1</v>
      </c>
      <c r="C6" s="1" t="s">
        <v>8</v>
      </c>
      <c r="D6" s="7" t="s">
        <v>11</v>
      </c>
      <c r="E6" s="5">
        <v>1</v>
      </c>
      <c r="F6" s="4">
        <v>0.5</v>
      </c>
      <c r="G6" s="4">
        <v>0.5</v>
      </c>
      <c r="H6" s="3">
        <v>0.4</v>
      </c>
      <c r="I6" s="59">
        <f t="shared" si="1"/>
        <v>0.6</v>
      </c>
      <c r="J6" s="17">
        <f t="shared" si="0"/>
        <v>0.39086797998528594</v>
      </c>
    </row>
    <row r="7" spans="1:10" ht="15.5">
      <c r="A7" s="23" t="s">
        <v>9</v>
      </c>
      <c r="B7" s="43">
        <v>0.1</v>
      </c>
      <c r="C7" s="23" t="s">
        <v>4</v>
      </c>
      <c r="D7" s="45">
        <v>0.75</v>
      </c>
      <c r="E7" s="45">
        <v>0.75</v>
      </c>
      <c r="F7" s="45">
        <v>0.875</v>
      </c>
      <c r="G7" s="45">
        <v>0.875</v>
      </c>
      <c r="H7" s="45">
        <v>0.75</v>
      </c>
      <c r="I7" s="27">
        <f t="shared" si="1"/>
        <v>0.8</v>
      </c>
      <c r="J7" s="24">
        <f t="shared" si="0"/>
        <v>7.6546554461974323E-2</v>
      </c>
    </row>
    <row r="8" spans="1:10" ht="15.5">
      <c r="A8" s="23" t="s">
        <v>9</v>
      </c>
      <c r="B8" s="43">
        <v>0.1</v>
      </c>
      <c r="C8" s="23" t="s">
        <v>5</v>
      </c>
      <c r="D8" s="45">
        <v>1</v>
      </c>
      <c r="E8" s="45">
        <v>0.96699999999999997</v>
      </c>
      <c r="F8" s="45">
        <v>1</v>
      </c>
      <c r="G8" s="45">
        <v>1</v>
      </c>
      <c r="H8" s="45">
        <v>1</v>
      </c>
      <c r="I8" s="24">
        <f t="shared" si="1"/>
        <v>0.99340000000000006</v>
      </c>
      <c r="J8" s="24">
        <f t="shared" si="0"/>
        <v>1.3287698812160268E-2</v>
      </c>
    </row>
    <row r="9" spans="1:10" ht="15.5">
      <c r="A9" s="23" t="s">
        <v>9</v>
      </c>
      <c r="B9" s="43">
        <v>0.1</v>
      </c>
      <c r="C9" s="23" t="s">
        <v>6</v>
      </c>
      <c r="D9" s="45">
        <v>1</v>
      </c>
      <c r="E9" s="45">
        <v>1</v>
      </c>
      <c r="F9" s="45">
        <v>1</v>
      </c>
      <c r="G9" s="45">
        <v>1</v>
      </c>
      <c r="H9" s="47">
        <v>0</v>
      </c>
      <c r="I9" s="27">
        <f t="shared" si="1"/>
        <v>0.8</v>
      </c>
      <c r="J9" s="57">
        <f t="shared" si="0"/>
        <v>0.5</v>
      </c>
    </row>
    <row r="10" spans="1:10" ht="15.5">
      <c r="A10" s="23" t="s">
        <v>9</v>
      </c>
      <c r="B10" s="43">
        <v>0.1</v>
      </c>
      <c r="C10" s="23" t="s">
        <v>7</v>
      </c>
      <c r="D10" s="45">
        <v>1</v>
      </c>
      <c r="E10" s="45">
        <v>0.8</v>
      </c>
      <c r="F10" s="45">
        <v>0.8</v>
      </c>
      <c r="G10" s="45">
        <v>0.8</v>
      </c>
      <c r="H10" s="45">
        <v>1</v>
      </c>
      <c r="I10" s="49">
        <f t="shared" si="1"/>
        <v>0.88000000000000012</v>
      </c>
      <c r="J10" s="24">
        <f t="shared" si="0"/>
        <v>0.11134044285378043</v>
      </c>
    </row>
    <row r="11" spans="1:10" ht="15.5">
      <c r="A11" s="1" t="s">
        <v>10</v>
      </c>
      <c r="B11" s="2">
        <v>0.1</v>
      </c>
      <c r="C11" s="1" t="s">
        <v>4</v>
      </c>
      <c r="D11" s="29">
        <v>0.38900000000000001</v>
      </c>
      <c r="E11" s="29">
        <v>8.3000000000000004E-2</v>
      </c>
      <c r="F11" s="29">
        <v>0.33300000000000002</v>
      </c>
      <c r="G11" s="29">
        <v>8.3000000000000004E-2</v>
      </c>
      <c r="H11" s="5">
        <v>1</v>
      </c>
      <c r="I11" s="60">
        <f t="shared" si="1"/>
        <v>0.37759999999999999</v>
      </c>
      <c r="J11" s="17">
        <f t="shared" si="0"/>
        <v>0.88872573165112201</v>
      </c>
    </row>
    <row r="12" spans="1:10" ht="15.5">
      <c r="A12" s="1" t="s">
        <v>10</v>
      </c>
      <c r="B12" s="2">
        <v>0.1</v>
      </c>
      <c r="C12" s="1" t="s">
        <v>5</v>
      </c>
      <c r="D12" s="8">
        <v>0.82899999999999996</v>
      </c>
      <c r="E12" s="5">
        <v>1</v>
      </c>
      <c r="F12" s="52">
        <v>0.85</v>
      </c>
      <c r="G12" s="5">
        <v>1</v>
      </c>
      <c r="H12" s="5">
        <v>0.88300000000000001</v>
      </c>
      <c r="I12" s="61">
        <f t="shared" si="1"/>
        <v>0.91239999999999988</v>
      </c>
      <c r="J12" s="61">
        <f t="shared" si="0"/>
        <v>8.0631222922685153E-2</v>
      </c>
    </row>
    <row r="13" spans="1:10" ht="15.5">
      <c r="A13" s="1" t="s">
        <v>10</v>
      </c>
      <c r="B13" s="2">
        <v>0.1</v>
      </c>
      <c r="C13" s="1" t="s">
        <v>6</v>
      </c>
      <c r="D13" s="3">
        <v>0</v>
      </c>
      <c r="E13" s="5">
        <v>1</v>
      </c>
      <c r="F13" s="5">
        <v>1</v>
      </c>
      <c r="G13" s="5">
        <v>1</v>
      </c>
      <c r="H13" s="5">
        <v>0.91700000000000004</v>
      </c>
      <c r="I13" s="61">
        <f t="shared" si="1"/>
        <v>0.78339999999999999</v>
      </c>
      <c r="J13" s="17">
        <f t="shared" si="0"/>
        <v>0.50168093492817167</v>
      </c>
    </row>
    <row r="14" spans="1:10" ht="15.5">
      <c r="A14" s="1" t="s">
        <v>10</v>
      </c>
      <c r="B14" s="2">
        <v>0.1</v>
      </c>
      <c r="C14" s="1" t="s">
        <v>7</v>
      </c>
      <c r="D14" s="5">
        <v>1</v>
      </c>
      <c r="E14" s="5">
        <v>0.8</v>
      </c>
      <c r="F14" s="5">
        <v>0.8</v>
      </c>
      <c r="G14" s="5">
        <v>0.8</v>
      </c>
      <c r="H14" s="5">
        <v>1</v>
      </c>
      <c r="I14" s="62">
        <f t="shared" si="1"/>
        <v>0.88000000000000012</v>
      </c>
      <c r="J14" s="61">
        <f t="shared" si="0"/>
        <v>0.11134044285378043</v>
      </c>
    </row>
    <row r="15" spans="1:10" ht="15.5">
      <c r="A15" s="1" t="s">
        <v>10</v>
      </c>
      <c r="B15" s="2">
        <v>0.1</v>
      </c>
      <c r="C15" s="1" t="s">
        <v>8</v>
      </c>
      <c r="D15" s="4">
        <v>0.63600000000000001</v>
      </c>
      <c r="E15" s="5">
        <v>1</v>
      </c>
      <c r="F15" s="5">
        <v>1</v>
      </c>
      <c r="G15" s="5">
        <v>1</v>
      </c>
      <c r="H15" s="69">
        <v>0.58099999999999996</v>
      </c>
      <c r="I15" s="61">
        <f t="shared" si="1"/>
        <v>0.84340000000000015</v>
      </c>
      <c r="J15" s="65">
        <f t="shared" si="0"/>
        <v>0.22834009303821509</v>
      </c>
    </row>
    <row r="16" spans="1:10" ht="15.5">
      <c r="A16" s="23" t="s">
        <v>12</v>
      </c>
      <c r="B16" s="43">
        <v>0.1</v>
      </c>
      <c r="C16" s="23" t="s">
        <v>4</v>
      </c>
      <c r="D16" s="47">
        <v>0</v>
      </c>
      <c r="E16" s="47">
        <v>0</v>
      </c>
      <c r="F16" s="45">
        <v>1</v>
      </c>
      <c r="G16" s="45">
        <v>1</v>
      </c>
      <c r="H16" s="45">
        <v>1</v>
      </c>
      <c r="I16" s="57">
        <f t="shared" si="1"/>
        <v>0.6</v>
      </c>
      <c r="J16" s="50">
        <f t="shared" si="0"/>
        <v>0.81649658092772603</v>
      </c>
    </row>
    <row r="17" spans="1:10" ht="15.5">
      <c r="A17" s="23" t="s">
        <v>12</v>
      </c>
      <c r="B17" s="43">
        <v>0.1</v>
      </c>
      <c r="C17" s="23" t="s">
        <v>5</v>
      </c>
      <c r="D17" s="48" t="s">
        <v>11</v>
      </c>
      <c r="E17" s="48" t="s">
        <v>11</v>
      </c>
      <c r="F17" s="51">
        <v>0.66700000000000004</v>
      </c>
      <c r="G17" s="51">
        <v>0.57099999999999995</v>
      </c>
      <c r="H17" s="45">
        <v>1</v>
      </c>
      <c r="I17" s="24">
        <f t="shared" si="1"/>
        <v>0.746</v>
      </c>
      <c r="J17" s="34">
        <f t="shared" si="0"/>
        <v>0.24642284790278335</v>
      </c>
    </row>
    <row r="18" spans="1:10" ht="15.5">
      <c r="A18" s="23" t="s">
        <v>12</v>
      </c>
      <c r="B18" s="43">
        <v>0.1</v>
      </c>
      <c r="C18" s="23" t="s">
        <v>6</v>
      </c>
      <c r="D18" s="48" t="s">
        <v>11</v>
      </c>
      <c r="E18" s="48" t="s">
        <v>11</v>
      </c>
      <c r="F18" s="45">
        <v>1</v>
      </c>
      <c r="G18" s="45">
        <v>1</v>
      </c>
      <c r="H18" s="45">
        <v>1</v>
      </c>
      <c r="I18" s="27">
        <f t="shared" si="1"/>
        <v>1</v>
      </c>
      <c r="J18" s="27">
        <f t="shared" si="0"/>
        <v>0</v>
      </c>
    </row>
    <row r="19" spans="1:10" ht="15.5">
      <c r="A19" s="23" t="s">
        <v>12</v>
      </c>
      <c r="B19" s="43">
        <v>0.1</v>
      </c>
      <c r="C19" s="23" t="s">
        <v>7</v>
      </c>
      <c r="D19" s="48" t="s">
        <v>11</v>
      </c>
      <c r="E19" s="48" t="s">
        <v>11</v>
      </c>
      <c r="F19" s="45">
        <v>0.8</v>
      </c>
      <c r="G19" s="45">
        <v>0.8</v>
      </c>
      <c r="H19" s="45">
        <v>1</v>
      </c>
      <c r="I19" s="35">
        <f t="shared" si="1"/>
        <v>0.8666666666666667</v>
      </c>
      <c r="J19" s="24">
        <f>_xlfn.STDEV.P(D19,E19,F19,G19,H19)/I19</f>
        <v>0.10878565864408428</v>
      </c>
    </row>
    <row r="21" spans="1:10" ht="31">
      <c r="A21" s="1" t="s">
        <v>0</v>
      </c>
      <c r="B21" s="1" t="s">
        <v>1</v>
      </c>
      <c r="C21" s="1" t="s">
        <v>2</v>
      </c>
      <c r="D21" s="79" t="s">
        <v>26</v>
      </c>
      <c r="E21" s="79" t="s">
        <v>27</v>
      </c>
      <c r="F21" s="79" t="s">
        <v>28</v>
      </c>
      <c r="G21" s="79" t="s">
        <v>29</v>
      </c>
      <c r="H21" s="79" t="s">
        <v>18</v>
      </c>
      <c r="I21" s="1" t="s">
        <v>15</v>
      </c>
      <c r="J21" s="1" t="s">
        <v>16</v>
      </c>
    </row>
    <row r="22" spans="1:10" ht="15.5">
      <c r="A22" s="1" t="s">
        <v>3</v>
      </c>
      <c r="B22" s="2">
        <v>0.3</v>
      </c>
      <c r="C22" s="1" t="s">
        <v>4</v>
      </c>
      <c r="D22" s="3">
        <v>0</v>
      </c>
      <c r="E22" s="3">
        <v>0.4</v>
      </c>
      <c r="F22" s="5">
        <v>1</v>
      </c>
      <c r="G22" s="5">
        <v>1</v>
      </c>
      <c r="H22" s="5">
        <v>1</v>
      </c>
      <c r="I22" s="63">
        <f>AVERAGE(D22,E22,F22,G22,H22)</f>
        <v>0.67999999999999994</v>
      </c>
      <c r="J22" s="17">
        <f>_xlfn.STDEV.P(D22,E22,F22,G22,H22)/I22</f>
        <v>0.60562530241100021</v>
      </c>
    </row>
    <row r="23" spans="1:10" ht="15.5">
      <c r="A23" s="1" t="s">
        <v>3</v>
      </c>
      <c r="B23" s="2">
        <v>0.3</v>
      </c>
      <c r="C23" s="1" t="s">
        <v>5</v>
      </c>
      <c r="D23" s="7" t="s">
        <v>11</v>
      </c>
      <c r="E23" s="3">
        <v>0.13300000000000001</v>
      </c>
      <c r="F23" s="3">
        <v>0.25900000000000001</v>
      </c>
      <c r="G23" s="3">
        <v>0.41699999999999998</v>
      </c>
      <c r="H23" s="4">
        <v>0.504</v>
      </c>
      <c r="I23" s="60">
        <f t="shared" ref="I23:I39" si="2">AVERAGE(D23,E23,F23,G23,H23)</f>
        <v>0.32824999999999999</v>
      </c>
      <c r="J23" s="17">
        <f>_xlfn.STDEV.P(D23,E23,F23,G23,H23)/I23</f>
        <v>0.43534187648260098</v>
      </c>
    </row>
    <row r="24" spans="1:10" ht="15.5">
      <c r="A24" s="1" t="s">
        <v>3</v>
      </c>
      <c r="B24" s="2">
        <v>0.3</v>
      </c>
      <c r="C24" s="1" t="s">
        <v>6</v>
      </c>
      <c r="D24" s="7" t="s">
        <v>11</v>
      </c>
      <c r="E24" s="5">
        <v>1</v>
      </c>
      <c r="F24" s="5">
        <v>1</v>
      </c>
      <c r="G24" s="5">
        <v>1</v>
      </c>
      <c r="H24" s="3">
        <v>0</v>
      </c>
      <c r="I24" s="62">
        <f t="shared" si="2"/>
        <v>0.75</v>
      </c>
      <c r="J24" s="17">
        <f t="shared" ref="J24:J39" si="3">_xlfn.STDEV.P(D24,E24,F24,G24,H24)/I24</f>
        <v>0.57735026918962573</v>
      </c>
    </row>
    <row r="25" spans="1:10" ht="15.5">
      <c r="A25" s="1" t="s">
        <v>3</v>
      </c>
      <c r="B25" s="2">
        <v>0.3</v>
      </c>
      <c r="C25" s="1" t="s">
        <v>7</v>
      </c>
      <c r="D25" s="7" t="s">
        <v>11</v>
      </c>
      <c r="E25" s="5">
        <v>0.8</v>
      </c>
      <c r="F25" s="5">
        <v>0.8</v>
      </c>
      <c r="G25" s="5">
        <v>0.8</v>
      </c>
      <c r="H25" s="3">
        <v>0</v>
      </c>
      <c r="I25" s="59">
        <f t="shared" si="2"/>
        <v>0.60000000000000009</v>
      </c>
      <c r="J25" s="17">
        <f t="shared" si="3"/>
        <v>0.57735026918962573</v>
      </c>
    </row>
    <row r="26" spans="1:10" ht="15.5">
      <c r="A26" s="1" t="s">
        <v>3</v>
      </c>
      <c r="B26" s="2">
        <v>0.3</v>
      </c>
      <c r="C26" s="1" t="s">
        <v>8</v>
      </c>
      <c r="D26" s="7" t="s">
        <v>11</v>
      </c>
      <c r="E26" s="5">
        <v>0.75</v>
      </c>
      <c r="F26" s="3">
        <v>0.4</v>
      </c>
      <c r="G26" s="4">
        <v>0.6</v>
      </c>
      <c r="H26" s="3">
        <v>0</v>
      </c>
      <c r="I26" s="60">
        <f t="shared" si="2"/>
        <v>0.4375</v>
      </c>
      <c r="J26" s="17">
        <f t="shared" si="3"/>
        <v>0.64333315709701167</v>
      </c>
    </row>
    <row r="27" spans="1:10" ht="15.5">
      <c r="A27" s="23" t="s">
        <v>9</v>
      </c>
      <c r="B27" s="43">
        <v>0.3</v>
      </c>
      <c r="C27" s="23" t="s">
        <v>4</v>
      </c>
      <c r="D27" s="44">
        <v>0.5</v>
      </c>
      <c r="E27" s="44">
        <v>0.625</v>
      </c>
      <c r="F27" s="45">
        <v>0.75</v>
      </c>
      <c r="G27" s="45">
        <v>0.875</v>
      </c>
      <c r="H27" s="44">
        <v>0.5</v>
      </c>
      <c r="I27" s="55">
        <f t="shared" si="2"/>
        <v>0.65</v>
      </c>
      <c r="J27" s="25">
        <f t="shared" si="3"/>
        <v>0.22426738057097312</v>
      </c>
    </row>
    <row r="28" spans="1:10" ht="15.5">
      <c r="A28" s="23" t="s">
        <v>9</v>
      </c>
      <c r="B28" s="43">
        <v>0.3</v>
      </c>
      <c r="C28" s="23" t="s">
        <v>5</v>
      </c>
      <c r="D28" s="45">
        <v>0.95</v>
      </c>
      <c r="E28" s="45">
        <v>0.96</v>
      </c>
      <c r="F28" s="45">
        <v>1</v>
      </c>
      <c r="G28" s="45">
        <v>1</v>
      </c>
      <c r="H28" s="45">
        <v>1</v>
      </c>
      <c r="I28" s="24">
        <f t="shared" si="2"/>
        <v>0.98199999999999998</v>
      </c>
      <c r="J28" s="24">
        <f t="shared" si="3"/>
        <v>2.2679284573645729E-2</v>
      </c>
    </row>
    <row r="29" spans="1:10" ht="15.5">
      <c r="A29" s="23" t="s">
        <v>9</v>
      </c>
      <c r="B29" s="43">
        <v>0.3</v>
      </c>
      <c r="C29" s="23" t="s">
        <v>6</v>
      </c>
      <c r="D29" s="45">
        <v>0.75</v>
      </c>
      <c r="E29" s="45">
        <v>1</v>
      </c>
      <c r="F29" s="45">
        <v>1</v>
      </c>
      <c r="G29" s="45">
        <v>1</v>
      </c>
      <c r="H29" s="45">
        <v>1</v>
      </c>
      <c r="I29" s="49">
        <f t="shared" si="2"/>
        <v>0.95</v>
      </c>
      <c r="J29" s="24">
        <f t="shared" si="3"/>
        <v>0.10526315789473685</v>
      </c>
    </row>
    <row r="30" spans="1:10" ht="15.5">
      <c r="A30" s="23" t="s">
        <v>9</v>
      </c>
      <c r="B30" s="43">
        <v>0.3</v>
      </c>
      <c r="C30" s="23" t="s">
        <v>7</v>
      </c>
      <c r="D30" s="45">
        <v>1</v>
      </c>
      <c r="E30" s="45">
        <v>0.8</v>
      </c>
      <c r="F30" s="45">
        <v>0.8</v>
      </c>
      <c r="G30" s="45">
        <v>0.8</v>
      </c>
      <c r="H30" s="45">
        <v>0.8</v>
      </c>
      <c r="I30" s="49">
        <f t="shared" si="2"/>
        <v>0.84000000000000008</v>
      </c>
      <c r="J30" s="24">
        <f t="shared" si="3"/>
        <v>9.5238095238095219E-2</v>
      </c>
    </row>
    <row r="31" spans="1:10" ht="15.5">
      <c r="A31" s="1" t="s">
        <v>10</v>
      </c>
      <c r="B31" s="2">
        <v>0.3</v>
      </c>
      <c r="C31" s="1" t="s">
        <v>4</v>
      </c>
      <c r="D31" s="3">
        <v>0.30599999999999999</v>
      </c>
      <c r="E31" s="3">
        <v>0</v>
      </c>
      <c r="F31" s="3">
        <v>0</v>
      </c>
      <c r="G31" s="3">
        <v>0</v>
      </c>
      <c r="H31" s="5">
        <v>0.77800000000000002</v>
      </c>
      <c r="I31" s="60">
        <f t="shared" si="2"/>
        <v>0.21680000000000002</v>
      </c>
      <c r="J31" s="17">
        <f t="shared" si="3"/>
        <v>1.4049860926966553</v>
      </c>
    </row>
    <row r="32" spans="1:10" ht="15.5">
      <c r="A32" s="1" t="s">
        <v>10</v>
      </c>
      <c r="B32" s="2">
        <v>0.3</v>
      </c>
      <c r="C32" s="1" t="s">
        <v>5</v>
      </c>
      <c r="D32" s="5">
        <v>0.85399999999999998</v>
      </c>
      <c r="E32" s="7" t="s">
        <v>11</v>
      </c>
      <c r="F32" s="7" t="s">
        <v>11</v>
      </c>
      <c r="G32" s="7" t="s">
        <v>11</v>
      </c>
      <c r="H32" s="5">
        <v>0.879</v>
      </c>
      <c r="I32" s="61">
        <f t="shared" si="2"/>
        <v>0.86650000000000005</v>
      </c>
      <c r="J32" s="61">
        <f t="shared" si="3"/>
        <v>1.44258511252164E-2</v>
      </c>
    </row>
    <row r="33" spans="1:10" ht="15.5">
      <c r="A33" s="1" t="s">
        <v>10</v>
      </c>
      <c r="B33" s="2">
        <v>0.3</v>
      </c>
      <c r="C33" s="1" t="s">
        <v>6</v>
      </c>
      <c r="D33" s="3">
        <v>0</v>
      </c>
      <c r="E33" s="7" t="s">
        <v>11</v>
      </c>
      <c r="F33" s="7" t="s">
        <v>11</v>
      </c>
      <c r="G33" s="7" t="s">
        <v>11</v>
      </c>
      <c r="H33" s="5">
        <v>1</v>
      </c>
      <c r="I33" s="59">
        <f t="shared" si="2"/>
        <v>0.5</v>
      </c>
      <c r="J33" s="66">
        <f t="shared" si="3"/>
        <v>1</v>
      </c>
    </row>
    <row r="34" spans="1:10" ht="15.5">
      <c r="A34" s="1" t="s">
        <v>10</v>
      </c>
      <c r="B34" s="2">
        <v>0.3</v>
      </c>
      <c r="C34" s="1" t="s">
        <v>7</v>
      </c>
      <c r="D34" s="3">
        <v>0</v>
      </c>
      <c r="E34" s="7" t="s">
        <v>11</v>
      </c>
      <c r="F34" s="7" t="s">
        <v>11</v>
      </c>
      <c r="G34" s="7" t="s">
        <v>11</v>
      </c>
      <c r="H34" s="3">
        <v>0</v>
      </c>
      <c r="I34" s="64">
        <f t="shared" si="2"/>
        <v>0</v>
      </c>
      <c r="J34" s="66" t="e">
        <f t="shared" si="3"/>
        <v>#DIV/0!</v>
      </c>
    </row>
    <row r="35" spans="1:10" ht="15.5">
      <c r="A35" s="1" t="s">
        <v>10</v>
      </c>
      <c r="B35" s="2">
        <v>0.3</v>
      </c>
      <c r="C35" s="1" t="s">
        <v>8</v>
      </c>
      <c r="D35" s="4">
        <v>0.59499999999999997</v>
      </c>
      <c r="E35" s="7" t="s">
        <v>11</v>
      </c>
      <c r="F35" s="7" t="s">
        <v>11</v>
      </c>
      <c r="G35" s="7" t="s">
        <v>11</v>
      </c>
      <c r="H35" s="5">
        <v>0.79900000000000004</v>
      </c>
      <c r="I35" s="65">
        <f t="shared" si="2"/>
        <v>0.69700000000000006</v>
      </c>
      <c r="J35" s="24">
        <f t="shared" si="3"/>
        <v>0.14634146341463353</v>
      </c>
    </row>
    <row r="36" spans="1:10" ht="15.5">
      <c r="A36" s="23" t="s">
        <v>12</v>
      </c>
      <c r="B36" s="43">
        <v>0.3</v>
      </c>
      <c r="C36" s="23" t="s">
        <v>4</v>
      </c>
      <c r="D36" s="47">
        <v>0</v>
      </c>
      <c r="E36" s="45">
        <v>1</v>
      </c>
      <c r="F36" s="47">
        <v>0</v>
      </c>
      <c r="G36" s="45">
        <v>1</v>
      </c>
      <c r="H36" s="45">
        <v>1</v>
      </c>
      <c r="I36" s="46">
        <f>AVERAGE(D36,E36,F36,G36,H36)</f>
        <v>0.6</v>
      </c>
      <c r="J36" s="50">
        <f>_xlfn.STDEV.P(D36,E36,F36,G36,H36)/I36</f>
        <v>0.81649658092772603</v>
      </c>
    </row>
    <row r="37" spans="1:10" ht="15.5">
      <c r="A37" s="23" t="s">
        <v>12</v>
      </c>
      <c r="B37" s="43">
        <v>0.3</v>
      </c>
      <c r="C37" s="23" t="s">
        <v>5</v>
      </c>
      <c r="D37" s="48" t="s">
        <v>11</v>
      </c>
      <c r="E37" s="47">
        <v>0.125</v>
      </c>
      <c r="F37" s="48" t="s">
        <v>11</v>
      </c>
      <c r="G37" s="47">
        <v>0.18099999999999999</v>
      </c>
      <c r="H37" s="44">
        <v>0.57099999999999995</v>
      </c>
      <c r="I37" s="50">
        <f t="shared" si="2"/>
        <v>0.29233333333333333</v>
      </c>
      <c r="J37" s="50">
        <f t="shared" si="3"/>
        <v>0.67857093856281459</v>
      </c>
    </row>
    <row r="38" spans="1:10" ht="15.5">
      <c r="A38" s="23" t="s">
        <v>12</v>
      </c>
      <c r="B38" s="43">
        <v>0.3</v>
      </c>
      <c r="C38" s="23" t="s">
        <v>6</v>
      </c>
      <c r="D38" s="48" t="s">
        <v>11</v>
      </c>
      <c r="E38" s="45">
        <v>1</v>
      </c>
      <c r="F38" s="48" t="s">
        <v>11</v>
      </c>
      <c r="G38" s="45">
        <v>1</v>
      </c>
      <c r="H38" s="45">
        <v>1</v>
      </c>
      <c r="I38" s="32">
        <f t="shared" si="2"/>
        <v>1</v>
      </c>
      <c r="J38" s="32">
        <f t="shared" si="3"/>
        <v>0</v>
      </c>
    </row>
    <row r="39" spans="1:10" ht="15.5">
      <c r="A39" s="23" t="s">
        <v>12</v>
      </c>
      <c r="B39" s="43">
        <v>0.3</v>
      </c>
      <c r="C39" s="23" t="s">
        <v>7</v>
      </c>
      <c r="D39" s="48" t="s">
        <v>11</v>
      </c>
      <c r="E39" s="45">
        <v>0.8</v>
      </c>
      <c r="F39" s="48" t="s">
        <v>11</v>
      </c>
      <c r="G39" s="45">
        <v>0.8</v>
      </c>
      <c r="H39" s="45">
        <v>1</v>
      </c>
      <c r="I39" s="76">
        <f t="shared" si="2"/>
        <v>0.8666666666666667</v>
      </c>
      <c r="J39" s="75">
        <f t="shared" si="3"/>
        <v>0.10878565864408428</v>
      </c>
    </row>
    <row r="40" spans="1:10" ht="15.5">
      <c r="F40" s="7"/>
    </row>
    <row r="41" spans="1:10" ht="31">
      <c r="A41" s="1" t="s">
        <v>0</v>
      </c>
      <c r="B41" s="1" t="s">
        <v>1</v>
      </c>
      <c r="C41" s="1" t="s">
        <v>2</v>
      </c>
      <c r="D41" s="79" t="s">
        <v>26</v>
      </c>
      <c r="E41" s="79" t="s">
        <v>27</v>
      </c>
      <c r="F41" s="79" t="s">
        <v>28</v>
      </c>
      <c r="G41" s="79" t="s">
        <v>29</v>
      </c>
      <c r="H41" s="79" t="s">
        <v>18</v>
      </c>
      <c r="I41" s="1" t="s">
        <v>15</v>
      </c>
      <c r="J41" s="1" t="s">
        <v>16</v>
      </c>
    </row>
    <row r="42" spans="1:10" ht="15.5">
      <c r="A42" s="1" t="s">
        <v>3</v>
      </c>
      <c r="B42" s="2">
        <v>0.5</v>
      </c>
      <c r="C42" s="1" t="s">
        <v>4</v>
      </c>
      <c r="D42" s="3">
        <v>0</v>
      </c>
      <c r="E42" s="3">
        <v>0</v>
      </c>
      <c r="F42" s="5">
        <v>0.8</v>
      </c>
      <c r="G42" s="5">
        <v>0.8</v>
      </c>
      <c r="H42" s="5">
        <v>1</v>
      </c>
      <c r="I42" s="63">
        <f>AVERAGE(D42,E42,F42,G42,H42)</f>
        <v>0.52</v>
      </c>
      <c r="J42" s="17">
        <f>_xlfn.STDEV.P(D42,E42,F42,G42,H42)/I42</f>
        <v>0.82848689340530846</v>
      </c>
    </row>
    <row r="43" spans="1:10" ht="15.5">
      <c r="A43" s="1" t="s">
        <v>3</v>
      </c>
      <c r="B43" s="2">
        <v>0.5</v>
      </c>
      <c r="C43" s="1" t="s">
        <v>5</v>
      </c>
      <c r="D43" s="7" t="s">
        <v>11</v>
      </c>
      <c r="E43" s="7" t="s">
        <v>11</v>
      </c>
      <c r="F43" s="3">
        <v>0.13400000000000001</v>
      </c>
      <c r="G43" s="3">
        <v>0.13400000000000001</v>
      </c>
      <c r="H43" s="4">
        <v>0.58299999999999996</v>
      </c>
      <c r="I43" s="60">
        <f t="shared" ref="I43:I58" si="4">AVERAGE(D43,E43,F43,G43,H43)</f>
        <v>0.28366666666666668</v>
      </c>
      <c r="J43" s="17">
        <f t="shared" ref="J43:J59" si="5">_xlfn.STDEV.P(D43,E43,F43,G43,H43)/I43</f>
        <v>0.74615968214514627</v>
      </c>
    </row>
    <row r="44" spans="1:10" ht="15.5">
      <c r="A44" s="1" t="s">
        <v>3</v>
      </c>
      <c r="B44" s="2">
        <v>0.5</v>
      </c>
      <c r="C44" s="1" t="s">
        <v>6</v>
      </c>
      <c r="D44" s="7" t="s">
        <v>11</v>
      </c>
      <c r="E44" s="7" t="s">
        <v>11</v>
      </c>
      <c r="F44" s="5">
        <v>1</v>
      </c>
      <c r="G44" s="5">
        <v>1</v>
      </c>
      <c r="H44" s="3">
        <v>0</v>
      </c>
      <c r="I44" s="65">
        <f t="shared" si="4"/>
        <v>0.66666666666666663</v>
      </c>
      <c r="J44" s="17">
        <f t="shared" si="5"/>
        <v>0.70710678118654757</v>
      </c>
    </row>
    <row r="45" spans="1:10" ht="15.5">
      <c r="A45" s="1" t="s">
        <v>3</v>
      </c>
      <c r="B45" s="2">
        <v>0.5</v>
      </c>
      <c r="C45" s="1" t="s">
        <v>7</v>
      </c>
      <c r="D45" s="7" t="s">
        <v>11</v>
      </c>
      <c r="E45" s="7" t="s">
        <v>11</v>
      </c>
      <c r="F45" s="5">
        <v>0.8</v>
      </c>
      <c r="G45" s="5">
        <v>0.8</v>
      </c>
      <c r="H45" s="3">
        <v>0</v>
      </c>
      <c r="I45" s="65">
        <f t="shared" si="4"/>
        <v>0.53333333333333333</v>
      </c>
      <c r="J45" s="17">
        <f t="shared" si="5"/>
        <v>0.70710678118654768</v>
      </c>
    </row>
    <row r="46" spans="1:10" ht="15.5">
      <c r="A46" s="1" t="s">
        <v>3</v>
      </c>
      <c r="B46" s="2">
        <v>0.5</v>
      </c>
      <c r="C46" s="1" t="s">
        <v>8</v>
      </c>
      <c r="D46" s="7" t="s">
        <v>11</v>
      </c>
      <c r="E46" s="7" t="s">
        <v>11</v>
      </c>
      <c r="F46" s="3">
        <v>0.25</v>
      </c>
      <c r="G46" s="3">
        <v>0.25</v>
      </c>
      <c r="H46" s="3">
        <v>0</v>
      </c>
      <c r="I46" s="60">
        <f t="shared" si="4"/>
        <v>0.16666666666666666</v>
      </c>
      <c r="J46" s="17">
        <f t="shared" si="5"/>
        <v>0.70710678118654757</v>
      </c>
    </row>
    <row r="47" spans="1:10" ht="15.5">
      <c r="A47" s="23" t="s">
        <v>9</v>
      </c>
      <c r="B47" s="43">
        <v>0.5</v>
      </c>
      <c r="C47" s="23" t="s">
        <v>4</v>
      </c>
      <c r="D47" s="44">
        <v>0.625</v>
      </c>
      <c r="E47" s="44">
        <v>0.625</v>
      </c>
      <c r="F47" s="45">
        <v>0.875</v>
      </c>
      <c r="G47" s="45">
        <v>0.75</v>
      </c>
      <c r="H47" s="44">
        <v>0.625</v>
      </c>
      <c r="I47" s="46">
        <f t="shared" si="4"/>
        <v>0.7</v>
      </c>
      <c r="J47" s="24">
        <f t="shared" si="5"/>
        <v>0.14285714285714288</v>
      </c>
    </row>
    <row r="48" spans="1:10" ht="15.5">
      <c r="A48" s="23" t="s">
        <v>9</v>
      </c>
      <c r="B48" s="43">
        <v>0.5</v>
      </c>
      <c r="C48" s="23" t="s">
        <v>5</v>
      </c>
      <c r="D48" s="45">
        <v>1</v>
      </c>
      <c r="E48" s="45">
        <v>0.96</v>
      </c>
      <c r="F48" s="45">
        <v>1</v>
      </c>
      <c r="G48" s="45">
        <v>0.96699999999999997</v>
      </c>
      <c r="H48" s="45">
        <v>1</v>
      </c>
      <c r="I48" s="24">
        <f t="shared" si="4"/>
        <v>0.98539999999999994</v>
      </c>
      <c r="J48" s="24">
        <f t="shared" si="5"/>
        <v>1.8284726006990409E-2</v>
      </c>
    </row>
    <row r="49" spans="1:11" ht="15.5">
      <c r="A49" s="23" t="s">
        <v>9</v>
      </c>
      <c r="B49" s="43">
        <v>0.5</v>
      </c>
      <c r="C49" s="23" t="s">
        <v>6</v>
      </c>
      <c r="D49" s="45">
        <v>1</v>
      </c>
      <c r="E49" s="45">
        <v>1</v>
      </c>
      <c r="F49" s="45">
        <v>1</v>
      </c>
      <c r="G49" s="45">
        <v>1</v>
      </c>
      <c r="H49" s="45">
        <v>1</v>
      </c>
      <c r="I49" s="32">
        <f>AVERAGE(D49,E49,F49,G49,H49)</f>
        <v>1</v>
      </c>
      <c r="J49" s="27">
        <f t="shared" si="5"/>
        <v>0</v>
      </c>
    </row>
    <row r="50" spans="1:11" ht="15.5">
      <c r="A50" s="23" t="s">
        <v>9</v>
      </c>
      <c r="B50" s="43">
        <v>0.5</v>
      </c>
      <c r="C50" s="23" t="s">
        <v>7</v>
      </c>
      <c r="D50" s="45">
        <v>0.8</v>
      </c>
      <c r="E50" s="45">
        <v>0.8</v>
      </c>
      <c r="F50" s="45">
        <v>0.8</v>
      </c>
      <c r="G50" s="45">
        <v>0.8</v>
      </c>
      <c r="H50" s="47">
        <v>0</v>
      </c>
      <c r="I50" s="55">
        <f t="shared" si="4"/>
        <v>0.64</v>
      </c>
      <c r="J50" s="57">
        <f>_xlfn.STDEV.P(D50,E50,F50,G50,H50)/I50</f>
        <v>0.5</v>
      </c>
    </row>
    <row r="51" spans="1:11" ht="15.5">
      <c r="A51" s="1" t="s">
        <v>10</v>
      </c>
      <c r="B51" s="2">
        <v>0.5</v>
      </c>
      <c r="C51" s="1" t="s">
        <v>4</v>
      </c>
      <c r="D51" s="3">
        <v>0.30599999999999999</v>
      </c>
      <c r="E51" s="3">
        <v>0</v>
      </c>
      <c r="F51" s="3">
        <v>0</v>
      </c>
      <c r="G51" s="3">
        <v>0</v>
      </c>
      <c r="H51" s="5">
        <v>0.91600000000000004</v>
      </c>
      <c r="I51" s="17">
        <f t="shared" si="4"/>
        <v>0.24440000000000001</v>
      </c>
      <c r="J51" s="17">
        <f t="shared" si="5"/>
        <v>1.4570366665422456</v>
      </c>
    </row>
    <row r="52" spans="1:11" ht="15.5">
      <c r="A52" s="1" t="s">
        <v>10</v>
      </c>
      <c r="B52" s="2">
        <v>0.5</v>
      </c>
      <c r="C52" s="1" t="s">
        <v>5</v>
      </c>
      <c r="D52" s="5">
        <v>0.85499999999999998</v>
      </c>
      <c r="E52" s="7" t="s">
        <v>11</v>
      </c>
      <c r="F52" s="7" t="s">
        <v>11</v>
      </c>
      <c r="G52" s="7" t="s">
        <v>11</v>
      </c>
      <c r="H52" s="5">
        <v>0.873</v>
      </c>
      <c r="I52" s="14">
        <f t="shared" si="4"/>
        <v>0.86399999999999999</v>
      </c>
      <c r="J52" s="62">
        <f t="shared" si="5"/>
        <v>1.0416666666666676E-2</v>
      </c>
    </row>
    <row r="53" spans="1:11" ht="15.5">
      <c r="A53" s="1" t="s">
        <v>10</v>
      </c>
      <c r="B53" s="2">
        <v>0.5</v>
      </c>
      <c r="C53" s="1" t="s">
        <v>6</v>
      </c>
      <c r="D53" s="3">
        <v>0</v>
      </c>
      <c r="E53" s="7" t="s">
        <v>11</v>
      </c>
      <c r="F53" s="7" t="s">
        <v>11</v>
      </c>
      <c r="G53" s="7" t="s">
        <v>11</v>
      </c>
      <c r="H53" s="5">
        <v>1</v>
      </c>
      <c r="I53" s="59">
        <f t="shared" si="4"/>
        <v>0.5</v>
      </c>
      <c r="J53" s="66">
        <f t="shared" si="5"/>
        <v>1</v>
      </c>
    </row>
    <row r="54" spans="1:11" ht="15.5">
      <c r="A54" s="1" t="s">
        <v>10</v>
      </c>
      <c r="B54" s="2">
        <v>0.5</v>
      </c>
      <c r="C54" s="1" t="s">
        <v>7</v>
      </c>
      <c r="D54" s="3">
        <v>0</v>
      </c>
      <c r="E54" s="7" t="s">
        <v>11</v>
      </c>
      <c r="F54" s="7" t="s">
        <v>11</v>
      </c>
      <c r="G54" s="7" t="s">
        <v>11</v>
      </c>
      <c r="H54" s="3">
        <v>0</v>
      </c>
      <c r="I54" s="10">
        <f t="shared" si="4"/>
        <v>0</v>
      </c>
      <c r="J54" s="11">
        <v>0</v>
      </c>
    </row>
    <row r="55" spans="1:11" ht="15.5">
      <c r="A55" s="1" t="s">
        <v>10</v>
      </c>
      <c r="B55" s="2">
        <v>0.5</v>
      </c>
      <c r="C55" s="1" t="s">
        <v>8</v>
      </c>
      <c r="D55" s="4">
        <v>0.58699999999999997</v>
      </c>
      <c r="E55" s="7" t="s">
        <v>11</v>
      </c>
      <c r="F55" s="7" t="s">
        <v>11</v>
      </c>
      <c r="G55" s="7" t="s">
        <v>11</v>
      </c>
      <c r="H55" s="5">
        <v>0.78500000000000003</v>
      </c>
      <c r="I55" s="65">
        <f>AVERAGE(D55,E55,F55,G55,H55)</f>
        <v>0.68599999999999994</v>
      </c>
      <c r="J55" s="14">
        <f t="shared" si="5"/>
        <v>0.14431486880466515</v>
      </c>
    </row>
    <row r="56" spans="1:11" ht="15.5">
      <c r="A56" s="23" t="s">
        <v>12</v>
      </c>
      <c r="B56" s="43">
        <v>0.5</v>
      </c>
      <c r="C56" s="23" t="s">
        <v>4</v>
      </c>
      <c r="D56" s="47">
        <v>0</v>
      </c>
      <c r="E56" s="47">
        <v>0</v>
      </c>
      <c r="F56" s="45">
        <v>1</v>
      </c>
      <c r="G56" s="47">
        <v>0</v>
      </c>
      <c r="H56" s="45">
        <v>1</v>
      </c>
      <c r="I56" s="57">
        <f t="shared" si="4"/>
        <v>0.4</v>
      </c>
      <c r="J56" s="50">
        <f t="shared" si="5"/>
        <v>1.2247448713915889</v>
      </c>
    </row>
    <row r="57" spans="1:11" ht="15.5">
      <c r="A57" s="23" t="s">
        <v>12</v>
      </c>
      <c r="B57" s="43">
        <v>0.5</v>
      </c>
      <c r="C57" s="23" t="s">
        <v>5</v>
      </c>
      <c r="D57" s="48" t="s">
        <v>11</v>
      </c>
      <c r="E57" s="48" t="s">
        <v>11</v>
      </c>
      <c r="F57" s="47">
        <v>0.246</v>
      </c>
      <c r="G57" s="48" t="s">
        <v>11</v>
      </c>
      <c r="H57" s="47">
        <v>0.33300000000000002</v>
      </c>
      <c r="I57" s="56">
        <f t="shared" si="4"/>
        <v>0.28949999999999998</v>
      </c>
      <c r="J57" s="49">
        <f>_xlfn.STDEV.P(D57,E57,F57,G57,H57)/I57</f>
        <v>0.15025906735751399</v>
      </c>
    </row>
    <row r="58" spans="1:11" ht="15.5">
      <c r="A58" s="23" t="s">
        <v>12</v>
      </c>
      <c r="B58" s="43">
        <v>0.5</v>
      </c>
      <c r="C58" s="23" t="s">
        <v>6</v>
      </c>
      <c r="D58" s="48" t="s">
        <v>11</v>
      </c>
      <c r="E58" s="48" t="s">
        <v>11</v>
      </c>
      <c r="F58" s="45">
        <v>1</v>
      </c>
      <c r="G58" s="48" t="s">
        <v>11</v>
      </c>
      <c r="H58" s="45">
        <v>1</v>
      </c>
      <c r="I58" s="32">
        <f t="shared" si="4"/>
        <v>1</v>
      </c>
      <c r="J58" s="27">
        <f t="shared" si="5"/>
        <v>0</v>
      </c>
    </row>
    <row r="59" spans="1:11" ht="15.5">
      <c r="A59" s="23" t="s">
        <v>12</v>
      </c>
      <c r="B59" s="43">
        <v>0.5</v>
      </c>
      <c r="C59" s="23" t="s">
        <v>7</v>
      </c>
      <c r="D59" s="48" t="s">
        <v>11</v>
      </c>
      <c r="E59" s="48" t="s">
        <v>11</v>
      </c>
      <c r="F59" s="45">
        <v>0.8</v>
      </c>
      <c r="G59" s="48" t="s">
        <v>11</v>
      </c>
      <c r="H59" s="45">
        <v>1</v>
      </c>
      <c r="I59" s="74">
        <f>AVERAGE(D59,E59,F59,G59,H59)</f>
        <v>0.9</v>
      </c>
      <c r="J59" s="75">
        <f t="shared" si="5"/>
        <v>0.11111111111111116</v>
      </c>
    </row>
    <row r="61" spans="1:11" ht="15.5">
      <c r="A61" s="9"/>
    </row>
    <row r="62" spans="1:11" ht="31">
      <c r="A62" s="1" t="s">
        <v>0</v>
      </c>
      <c r="B62" s="1" t="s">
        <v>1</v>
      </c>
      <c r="C62" s="1" t="s">
        <v>2</v>
      </c>
      <c r="D62" s="79" t="s">
        <v>26</v>
      </c>
      <c r="E62" s="79" t="s">
        <v>27</v>
      </c>
      <c r="F62" s="79" t="s">
        <v>28</v>
      </c>
      <c r="G62" s="79" t="s">
        <v>29</v>
      </c>
      <c r="H62" s="79" t="s">
        <v>18</v>
      </c>
      <c r="K62" s="1" t="s">
        <v>17</v>
      </c>
    </row>
    <row r="63" spans="1:11" ht="15.5">
      <c r="A63" s="1" t="s">
        <v>3</v>
      </c>
      <c r="B63" s="1" t="s">
        <v>13</v>
      </c>
      <c r="C63" s="1" t="s">
        <v>4</v>
      </c>
      <c r="D63" s="70">
        <v>0</v>
      </c>
      <c r="E63" s="64">
        <f>AVERAGE(E2,E22,E42)</f>
        <v>0.20000000000000004</v>
      </c>
      <c r="F63" s="39">
        <f>AVERAGE(F2,F22,F42)</f>
        <v>0.80000000000000016</v>
      </c>
      <c r="G63" s="39">
        <f>AVERAGE(G2,G22,G42)</f>
        <v>0.80000000000000016</v>
      </c>
      <c r="H63" s="71">
        <f t="shared" ref="H63" si="6">AVERAGE(H2,H22,H42)</f>
        <v>1</v>
      </c>
      <c r="K63" s="19" t="s">
        <v>18</v>
      </c>
    </row>
    <row r="64" spans="1:11" ht="15.5">
      <c r="A64" s="1" t="s">
        <v>3</v>
      </c>
      <c r="B64" s="1" t="s">
        <v>13</v>
      </c>
      <c r="C64" s="1" t="s">
        <v>5</v>
      </c>
      <c r="D64" s="72" t="s">
        <v>11</v>
      </c>
      <c r="E64" s="60">
        <f t="shared" ref="E64:G80" si="7">AVERAGE(E3,E23,E43)</f>
        <v>0.2205</v>
      </c>
      <c r="F64" s="60">
        <f t="shared" si="7"/>
        <v>0.24566666666666667</v>
      </c>
      <c r="G64" s="40">
        <f t="shared" si="7"/>
        <v>0.37399999999999994</v>
      </c>
      <c r="H64" s="65">
        <f t="shared" ref="H64" si="8">AVERAGE(H3,H23,H43)</f>
        <v>0.60799999999999998</v>
      </c>
      <c r="K64" s="19" t="s">
        <v>18</v>
      </c>
    </row>
    <row r="65" spans="1:11" ht="15.5">
      <c r="A65" s="1" t="s">
        <v>3</v>
      </c>
      <c r="B65" s="1" t="s">
        <v>13</v>
      </c>
      <c r="C65" s="1" t="s">
        <v>6</v>
      </c>
      <c r="D65" s="72" t="s">
        <v>11</v>
      </c>
      <c r="E65" s="41">
        <f t="shared" ref="E65" si="9">AVERAGE(E4,E24,E44)</f>
        <v>1</v>
      </c>
      <c r="F65" s="41">
        <f t="shared" si="7"/>
        <v>1</v>
      </c>
      <c r="G65" s="41">
        <f>AVERAGE(G4,G24,G44)</f>
        <v>1</v>
      </c>
      <c r="H65" s="70">
        <f t="shared" ref="H65" si="10">AVERAGE(H4,H24,H44)</f>
        <v>0</v>
      </c>
      <c r="K65" s="18" t="s">
        <v>21</v>
      </c>
    </row>
    <row r="66" spans="1:11" ht="15.5">
      <c r="A66" s="1" t="s">
        <v>3</v>
      </c>
      <c r="B66" s="1" t="s">
        <v>13</v>
      </c>
      <c r="C66" s="1" t="s">
        <v>7</v>
      </c>
      <c r="D66" s="72" t="s">
        <v>11</v>
      </c>
      <c r="E66" s="41">
        <f t="shared" ref="E66" si="11">AVERAGE(E5,E25,E45)</f>
        <v>0.8</v>
      </c>
      <c r="F66" s="39">
        <f t="shared" si="7"/>
        <v>0.80000000000000016</v>
      </c>
      <c r="G66" s="39">
        <f t="shared" si="7"/>
        <v>0.80000000000000016</v>
      </c>
      <c r="H66" s="70">
        <f>AVERAGE(H5,H25,H45)</f>
        <v>0</v>
      </c>
      <c r="K66" s="18" t="s">
        <v>21</v>
      </c>
    </row>
    <row r="67" spans="1:11" ht="15.5">
      <c r="A67" s="1" t="s">
        <v>3</v>
      </c>
      <c r="B67" s="1" t="s">
        <v>13</v>
      </c>
      <c r="C67" s="1" t="s">
        <v>8</v>
      </c>
      <c r="D67" s="72" t="s">
        <v>11</v>
      </c>
      <c r="E67" s="41">
        <f t="shared" ref="E67" si="12">AVERAGE(E6,E26,E46)</f>
        <v>0.875</v>
      </c>
      <c r="F67" s="60">
        <f t="shared" si="7"/>
        <v>0.3833333333333333</v>
      </c>
      <c r="G67" s="42">
        <f t="shared" si="7"/>
        <v>0.45</v>
      </c>
      <c r="H67" s="60">
        <f t="shared" ref="H67" si="13">AVERAGE(H6,H26,H46)</f>
        <v>0.13333333333333333</v>
      </c>
      <c r="K67" s="78" t="s">
        <v>22</v>
      </c>
    </row>
    <row r="68" spans="1:11" ht="15.5">
      <c r="A68" s="23" t="s">
        <v>9</v>
      </c>
      <c r="B68" s="23" t="s">
        <v>13</v>
      </c>
      <c r="C68" s="23" t="s">
        <v>4</v>
      </c>
      <c r="D68" s="36">
        <v>0.625</v>
      </c>
      <c r="E68" s="25">
        <f>AVERAGE(E7,E27,E47)</f>
        <v>0.66666666666666663</v>
      </c>
      <c r="F68" s="24">
        <f>AVERAGE(F7,F27,F47)</f>
        <v>0.83333333333333337</v>
      </c>
      <c r="G68" s="24">
        <f t="shared" si="7"/>
        <v>0.83333333333333337</v>
      </c>
      <c r="H68" s="25">
        <f>AVERAGE(H7,H27,H47)</f>
        <v>0.625</v>
      </c>
      <c r="K68" s="22" t="s">
        <v>23</v>
      </c>
    </row>
    <row r="69" spans="1:11" ht="15.5">
      <c r="A69" s="23" t="s">
        <v>9</v>
      </c>
      <c r="B69" s="23" t="s">
        <v>13</v>
      </c>
      <c r="C69" s="23" t="s">
        <v>5</v>
      </c>
      <c r="D69" s="27">
        <v>0.98299999999999998</v>
      </c>
      <c r="E69" s="24">
        <f t="shared" ref="E69:E71" si="14">AVERAGE(E8,E28,E48)</f>
        <v>0.96233333333333337</v>
      </c>
      <c r="F69" s="32">
        <f t="shared" si="7"/>
        <v>1</v>
      </c>
      <c r="G69" s="24">
        <f t="shared" si="7"/>
        <v>0.98899999999999999</v>
      </c>
      <c r="H69" s="32">
        <f t="shared" ref="H69" si="15">AVERAGE(H8,H28,H48)</f>
        <v>1</v>
      </c>
      <c r="K69" s="54" t="s">
        <v>24</v>
      </c>
    </row>
    <row r="70" spans="1:11" ht="15.5">
      <c r="A70" s="23" t="s">
        <v>9</v>
      </c>
      <c r="B70" s="23" t="s">
        <v>13</v>
      </c>
      <c r="C70" s="23" t="s">
        <v>6</v>
      </c>
      <c r="D70" s="27">
        <v>0.85</v>
      </c>
      <c r="E70" s="27">
        <f t="shared" si="14"/>
        <v>1</v>
      </c>
      <c r="F70" s="27">
        <f t="shared" si="7"/>
        <v>1</v>
      </c>
      <c r="G70" s="27">
        <f t="shared" si="7"/>
        <v>1</v>
      </c>
      <c r="H70" s="25">
        <f t="shared" ref="H70" si="16">AVERAGE(H9,H29,H49)</f>
        <v>0.66666666666666663</v>
      </c>
      <c r="K70" s="20" t="s">
        <v>21</v>
      </c>
    </row>
    <row r="71" spans="1:11" ht="15.5">
      <c r="A71" s="23" t="s">
        <v>9</v>
      </c>
      <c r="B71" s="23" t="s">
        <v>13</v>
      </c>
      <c r="C71" s="23" t="s">
        <v>7</v>
      </c>
      <c r="D71" s="27">
        <v>0.93300000000000005</v>
      </c>
      <c r="E71" s="35">
        <f t="shared" si="14"/>
        <v>0.80000000000000016</v>
      </c>
      <c r="F71" s="27">
        <f t="shared" si="7"/>
        <v>0.80000000000000016</v>
      </c>
      <c r="G71" s="35">
        <f>AVERAGE(G10,G30,G50)</f>
        <v>0.80000000000000016</v>
      </c>
      <c r="H71" s="34">
        <f t="shared" ref="H71" si="17">AVERAGE(H10,H30,H50)</f>
        <v>0.6</v>
      </c>
      <c r="K71" s="21" t="s">
        <v>25</v>
      </c>
    </row>
    <row r="72" spans="1:11" ht="15.5">
      <c r="A72" s="1" t="s">
        <v>10</v>
      </c>
      <c r="B72" s="1" t="s">
        <v>13</v>
      </c>
      <c r="C72" s="1" t="s">
        <v>4</v>
      </c>
      <c r="D72" s="70">
        <v>0.33400000000000002</v>
      </c>
      <c r="E72" s="60">
        <f t="shared" si="7"/>
        <v>2.7666666666666669E-2</v>
      </c>
      <c r="F72" s="60">
        <f t="shared" si="7"/>
        <v>0.111</v>
      </c>
      <c r="G72" s="40">
        <f>AVERAGE(G11,G31,G51)</f>
        <v>2.7666666666666669E-2</v>
      </c>
      <c r="H72" s="61">
        <f t="shared" ref="H72" si="18">AVERAGE(H11,H31,H51)</f>
        <v>0.89800000000000002</v>
      </c>
      <c r="I72" s="31"/>
      <c r="K72" s="19" t="s">
        <v>18</v>
      </c>
    </row>
    <row r="73" spans="1:11" ht="15.5">
      <c r="A73" s="1" t="s">
        <v>10</v>
      </c>
      <c r="B73" s="1" t="s">
        <v>13</v>
      </c>
      <c r="C73" s="1" t="s">
        <v>5</v>
      </c>
      <c r="D73" s="41">
        <v>0.84599999999999997</v>
      </c>
      <c r="E73" s="41">
        <f t="shared" ref="E73" si="19">AVERAGE(E12,E32,E52)</f>
        <v>1</v>
      </c>
      <c r="F73" s="62">
        <f t="shared" si="7"/>
        <v>0.85</v>
      </c>
      <c r="G73" s="41">
        <f t="shared" si="7"/>
        <v>1</v>
      </c>
      <c r="H73" s="61">
        <f t="shared" ref="H73" si="20">AVERAGE(H12,H32,H52)</f>
        <v>0.8783333333333333</v>
      </c>
      <c r="I73" s="33"/>
      <c r="K73" s="18" t="s">
        <v>20</v>
      </c>
    </row>
    <row r="74" spans="1:11" ht="15.5">
      <c r="A74" s="1" t="s">
        <v>10</v>
      </c>
      <c r="B74" s="1" t="s">
        <v>13</v>
      </c>
      <c r="C74" s="1" t="s">
        <v>6</v>
      </c>
      <c r="D74" s="70">
        <v>0</v>
      </c>
      <c r="E74" s="41">
        <f t="shared" ref="E74" si="21">AVERAGE(E13,E33,E53)</f>
        <v>1</v>
      </c>
      <c r="F74" s="41">
        <f t="shared" si="7"/>
        <v>1</v>
      </c>
      <c r="G74" s="41">
        <f t="shared" si="7"/>
        <v>1</v>
      </c>
      <c r="H74" s="61">
        <f t="shared" ref="H74" si="22">AVERAGE(H13,H33,H53)</f>
        <v>0.97233333333333327</v>
      </c>
      <c r="K74" s="18" t="s">
        <v>21</v>
      </c>
    </row>
    <row r="75" spans="1:11" ht="15.5">
      <c r="A75" s="1" t="s">
        <v>10</v>
      </c>
      <c r="B75" s="1" t="s">
        <v>13</v>
      </c>
      <c r="C75" s="1" t="s">
        <v>7</v>
      </c>
      <c r="D75" s="70">
        <v>0.33300000000000002</v>
      </c>
      <c r="E75" s="41">
        <f>AVERAGE(E14,E34,E54)</f>
        <v>0.8</v>
      </c>
      <c r="F75" s="41">
        <f t="shared" si="7"/>
        <v>0.8</v>
      </c>
      <c r="G75" s="39">
        <f t="shared" si="7"/>
        <v>0.8</v>
      </c>
      <c r="H75" s="40">
        <f t="shared" ref="H75" si="23">AVERAGE(H14,H34,H54)</f>
        <v>0.33333333333333331</v>
      </c>
      <c r="K75" s="18" t="s">
        <v>21</v>
      </c>
    </row>
    <row r="76" spans="1:11" ht="15.5">
      <c r="A76" s="1" t="s">
        <v>10</v>
      </c>
      <c r="B76" s="1" t="s">
        <v>13</v>
      </c>
      <c r="C76" s="1" t="s">
        <v>8</v>
      </c>
      <c r="D76" s="73">
        <v>0.60599999999999998</v>
      </c>
      <c r="E76" s="41">
        <f t="shared" ref="E76" si="24">AVERAGE(E15,E35,E55)</f>
        <v>1</v>
      </c>
      <c r="F76" s="41">
        <f t="shared" si="7"/>
        <v>1</v>
      </c>
      <c r="G76" s="41">
        <f t="shared" si="7"/>
        <v>1</v>
      </c>
      <c r="H76" s="61">
        <f t="shared" ref="H76" si="25">AVERAGE(H15,H35,H55)</f>
        <v>0.72166666666666668</v>
      </c>
      <c r="K76" s="18" t="s">
        <v>21</v>
      </c>
    </row>
    <row r="77" spans="1:11" ht="15.5">
      <c r="A77" s="23" t="s">
        <v>12</v>
      </c>
      <c r="B77" s="23" t="s">
        <v>13</v>
      </c>
      <c r="C77" s="23" t="s">
        <v>4</v>
      </c>
      <c r="D77" s="37">
        <v>0</v>
      </c>
      <c r="E77" s="26">
        <f t="shared" si="7"/>
        <v>0.33333333333333331</v>
      </c>
      <c r="F77" s="25">
        <f t="shared" si="7"/>
        <v>0.66666666666666663</v>
      </c>
      <c r="G77" s="25">
        <f t="shared" si="7"/>
        <v>0.66666666666666663</v>
      </c>
      <c r="H77" s="27">
        <f t="shared" ref="H77" si="26">AVERAGE(H16,H36,H56)</f>
        <v>1</v>
      </c>
      <c r="K77" s="54" t="s">
        <v>18</v>
      </c>
    </row>
    <row r="78" spans="1:11" ht="15.5">
      <c r="A78" s="23" t="s">
        <v>12</v>
      </c>
      <c r="B78" s="23" t="s">
        <v>13</v>
      </c>
      <c r="C78" s="23" t="s">
        <v>5</v>
      </c>
      <c r="D78" s="38" t="s">
        <v>11</v>
      </c>
      <c r="E78" s="26">
        <f t="shared" ref="E78" si="27">AVERAGE(E17,E37,E57)</f>
        <v>0.125</v>
      </c>
      <c r="F78" s="28">
        <f t="shared" si="7"/>
        <v>0.45650000000000002</v>
      </c>
      <c r="G78" s="26">
        <f t="shared" si="7"/>
        <v>0.376</v>
      </c>
      <c r="H78" s="25">
        <f>AVERAGE(H17,H37,H57)</f>
        <v>0.6346666666666666</v>
      </c>
      <c r="K78" s="54" t="s">
        <v>18</v>
      </c>
    </row>
    <row r="79" spans="1:11" ht="15.5">
      <c r="A79" s="23" t="s">
        <v>12</v>
      </c>
      <c r="B79" s="23" t="s">
        <v>13</v>
      </c>
      <c r="C79" s="23" t="s">
        <v>6</v>
      </c>
      <c r="D79" s="38" t="s">
        <v>11</v>
      </c>
      <c r="E79" s="27">
        <f t="shared" ref="E79" si="28">AVERAGE(E18,E38,E58)</f>
        <v>1</v>
      </c>
      <c r="F79" s="27">
        <f t="shared" si="7"/>
        <v>1</v>
      </c>
      <c r="G79" s="27">
        <f t="shared" si="7"/>
        <v>1</v>
      </c>
      <c r="H79" s="27">
        <f t="shared" ref="H79" si="29">AVERAGE(H18,H38,H58)</f>
        <v>1</v>
      </c>
      <c r="K79" s="20" t="s">
        <v>19</v>
      </c>
    </row>
    <row r="80" spans="1:11" ht="15.5">
      <c r="A80" s="23" t="s">
        <v>12</v>
      </c>
      <c r="B80" s="23" t="s">
        <v>13</v>
      </c>
      <c r="C80" s="23" t="s">
        <v>7</v>
      </c>
      <c r="D80" s="38" t="s">
        <v>11</v>
      </c>
      <c r="E80" s="35">
        <f t="shared" ref="E80" si="30">AVERAGE(E19,E39,E59)</f>
        <v>0.8</v>
      </c>
      <c r="F80" s="35">
        <f t="shared" si="7"/>
        <v>0.8</v>
      </c>
      <c r="G80" s="35">
        <f>AVERAGE(G19,G39,G59)</f>
        <v>0.8</v>
      </c>
      <c r="H80" s="27">
        <f t="shared" ref="H80" si="31">AVERAGE(H19,H39,H59)</f>
        <v>1</v>
      </c>
      <c r="K80" s="54" t="s">
        <v>18</v>
      </c>
    </row>
    <row r="83" spans="1:8" ht="15.5">
      <c r="A83" s="1" t="s">
        <v>3</v>
      </c>
      <c r="B83" s="1" t="s">
        <v>14</v>
      </c>
      <c r="C83" s="1" t="s">
        <v>4</v>
      </c>
      <c r="D83" s="11">
        <v>0</v>
      </c>
      <c r="E83" s="13">
        <f>_xlfn.STDEV.P(E2,E22,E42)/E63</f>
        <v>0.81649658092772581</v>
      </c>
      <c r="F83" s="16">
        <f>_xlfn.STDEV.P(F2,F22,F42)/F63</f>
        <v>0.20412414523193079</v>
      </c>
      <c r="G83" s="15">
        <f>_xlfn.STDEV.P(G2,G22,G42)/G63</f>
        <v>0.20412414523193079</v>
      </c>
      <c r="H83" s="16">
        <f>_xlfn.STDEV.P(H2,H22,H42)/H63</f>
        <v>0</v>
      </c>
    </row>
    <row r="84" spans="1:8" ht="15.5">
      <c r="A84" s="1" t="s">
        <v>3</v>
      </c>
      <c r="B84" s="1" t="s">
        <v>14</v>
      </c>
      <c r="C84" s="1" t="s">
        <v>5</v>
      </c>
      <c r="D84" s="12" t="s">
        <v>11</v>
      </c>
      <c r="E84" s="13">
        <f>_xlfn.STDEV.P(E3,E23,E43)/E64</f>
        <v>0.39682539682539691</v>
      </c>
      <c r="F84" s="13">
        <f>_xlfn.STDEV.P(F3,F23,F43)/F64</f>
        <v>0.35108138488292012</v>
      </c>
      <c r="G84" s="13">
        <f>_xlfn.STDEV.P(G3,G23,G43)/G64</f>
        <v>0.48389566384514904</v>
      </c>
      <c r="H84" s="14">
        <f>_xlfn.STDEV.P(H3,H23,H43)/H64</f>
        <v>0.15912917488080375</v>
      </c>
    </row>
    <row r="85" spans="1:8" ht="15.5">
      <c r="A85" s="1" t="s">
        <v>3</v>
      </c>
      <c r="B85" s="1" t="s">
        <v>14</v>
      </c>
      <c r="C85" s="1" t="s">
        <v>6</v>
      </c>
      <c r="D85" s="12" t="s">
        <v>11</v>
      </c>
      <c r="E85" s="11">
        <f>_xlfn.STDEV.P(E4,E24,E44)/E65</f>
        <v>0</v>
      </c>
      <c r="F85" s="11">
        <f>_xlfn.STDEV.P(F4,F24,F44)/F65</f>
        <v>0</v>
      </c>
      <c r="G85" s="11">
        <f>_xlfn.STDEV.P(G4,G24,G44)/G65</f>
        <v>0</v>
      </c>
      <c r="H85" s="11">
        <v>0</v>
      </c>
    </row>
    <row r="86" spans="1:8" ht="15.5">
      <c r="A86" s="1" t="s">
        <v>3</v>
      </c>
      <c r="B86" s="1" t="s">
        <v>14</v>
      </c>
      <c r="C86" s="1" t="s">
        <v>7</v>
      </c>
      <c r="D86" s="12" t="s">
        <v>11</v>
      </c>
      <c r="E86" s="11">
        <f>_xlfn.STDEV.P(E5,E25,E45)/E66</f>
        <v>0</v>
      </c>
      <c r="F86" s="16">
        <f>_xlfn.STDEV.P(F5,F25,F45)/F66</f>
        <v>1.3877787807814454E-16</v>
      </c>
      <c r="G86" s="16">
        <f>_xlfn.STDEV.P(G5,G25,G45)/G66</f>
        <v>1.3877787807814454E-16</v>
      </c>
      <c r="H86" s="11">
        <v>0</v>
      </c>
    </row>
    <row r="87" spans="1:8" ht="15.5">
      <c r="A87" s="1" t="s">
        <v>3</v>
      </c>
      <c r="B87" s="1" t="s">
        <v>14</v>
      </c>
      <c r="C87" s="1" t="s">
        <v>8</v>
      </c>
      <c r="D87" s="12" t="s">
        <v>11</v>
      </c>
      <c r="E87" s="14">
        <f>_xlfn.STDEV.P(E6,E26,E46)/E67</f>
        <v>0.14285714285714285</v>
      </c>
      <c r="F87" s="15">
        <f>_xlfn.STDEV.P(F6,F26,F46)/F67</f>
        <v>0.26801800012908622</v>
      </c>
      <c r="G87" s="15">
        <f>_xlfn.STDEV.P(G6,G26,G46)/G67</f>
        <v>0.32710225430843864</v>
      </c>
      <c r="H87" s="13">
        <f>_xlfn.STDEV.P(H6,H26,H46)/H67</f>
        <v>1.4142135623730954</v>
      </c>
    </row>
    <row r="88" spans="1:8" ht="15.5">
      <c r="A88" s="1" t="s">
        <v>9</v>
      </c>
      <c r="B88" s="1" t="s">
        <v>14</v>
      </c>
      <c r="C88" s="1" t="s">
        <v>4</v>
      </c>
      <c r="D88" s="27">
        <v>0.16300000000000001</v>
      </c>
      <c r="E88" s="24">
        <f>_xlfn.STDEV.P(E7,E27,E47)/E68</f>
        <v>8.8388347648318447E-2</v>
      </c>
      <c r="F88" s="24">
        <f>_xlfn.STDEV.P(F7,F27,F47)/F68</f>
        <v>7.0710678118654752E-2</v>
      </c>
      <c r="G88" s="24">
        <f>_xlfn.STDEV.P(G7,G27,G47)/G68</f>
        <v>7.0710678118654752E-2</v>
      </c>
      <c r="H88" s="24">
        <f>_xlfn.STDEV.P(H7,H27,H47)/H68</f>
        <v>0.16329931618554522</v>
      </c>
    </row>
    <row r="89" spans="1:8" ht="15.5">
      <c r="A89" s="1" t="s">
        <v>9</v>
      </c>
      <c r="B89" s="1" t="s">
        <v>14</v>
      </c>
      <c r="C89" s="1" t="s">
        <v>5</v>
      </c>
      <c r="D89" s="27">
        <v>2.4E-2</v>
      </c>
      <c r="E89" s="24">
        <f>_xlfn.STDEV.P(E8,E28,E48)/E69</f>
        <v>3.4289902793944141E-3</v>
      </c>
      <c r="F89" s="32">
        <f>_xlfn.STDEV.P(F8,F28,F48)/F69</f>
        <v>0</v>
      </c>
      <c r="G89" s="24">
        <f>_xlfn.STDEV.P(G8,G28,G48)/G69</f>
        <v>1.5729372281197231E-2</v>
      </c>
      <c r="H89" s="32">
        <f>_xlfn.STDEV.P(H8,H28,H48)/H69</f>
        <v>0</v>
      </c>
    </row>
    <row r="90" spans="1:8" ht="15.5">
      <c r="A90" s="1" t="s">
        <v>9</v>
      </c>
      <c r="B90" s="1" t="s">
        <v>14</v>
      </c>
      <c r="C90" s="1" t="s">
        <v>6</v>
      </c>
      <c r="D90" s="27">
        <v>0.127</v>
      </c>
      <c r="E90" s="27">
        <f>_xlfn.STDEV.P(E9,E29,E49)/E70</f>
        <v>0</v>
      </c>
      <c r="F90" s="27">
        <f>_xlfn.STDEV.P(F9,F29,F49)/F70</f>
        <v>0</v>
      </c>
      <c r="G90" s="27">
        <f>_xlfn.STDEV.P(G9,G29,G49)/G70</f>
        <v>0</v>
      </c>
      <c r="H90" s="26">
        <f>_xlfn.STDEV.P(H9,H29,H49)/H70</f>
        <v>0.70710678118654757</v>
      </c>
    </row>
    <row r="91" spans="1:8" ht="15.5">
      <c r="A91" s="1" t="s">
        <v>9</v>
      </c>
      <c r="B91" s="1" t="s">
        <v>14</v>
      </c>
      <c r="C91" s="1" t="s">
        <v>7</v>
      </c>
      <c r="D91" s="27">
        <v>0.10100000000000001</v>
      </c>
      <c r="E91" s="32">
        <f>_xlfn.STDEV.P(E10,E30,E50)/E71</f>
        <v>1.3877787807814454E-16</v>
      </c>
      <c r="F91" s="32">
        <f>_xlfn.STDEV.P(F10,F30,F50)/F71</f>
        <v>1.3877787807814454E-16</v>
      </c>
      <c r="G91" s="32">
        <f>_xlfn.STDEV.P(G10,G30,G50)/G71</f>
        <v>1.3877787807814454E-16</v>
      </c>
      <c r="H91" s="28">
        <f>_xlfn.STDEV.P(H10,H30,H50)/H71</f>
        <v>0.72008229982309557</v>
      </c>
    </row>
    <row r="92" spans="1:8" ht="15.5">
      <c r="A92" s="1" t="s">
        <v>10</v>
      </c>
      <c r="B92" s="1" t="s">
        <v>14</v>
      </c>
      <c r="C92" s="1" t="s">
        <v>4</v>
      </c>
      <c r="D92" s="11">
        <v>0.11700000000000001</v>
      </c>
      <c r="E92" s="13">
        <f>_xlfn.STDEV.P(E11,E31,E51)/E72</f>
        <v>1.4142135623730951</v>
      </c>
      <c r="F92" s="13">
        <f>_xlfn.STDEV.P(F11,F31,F51)/F72</f>
        <v>1.4142135623730954</v>
      </c>
      <c r="G92" s="13">
        <f>_xlfn.STDEV.P(G11,G31,G51)/G72</f>
        <v>1.4142135623730951</v>
      </c>
      <c r="H92" s="14">
        <f>_xlfn.STDEV.P(H11,H31,H51)/H72</f>
        <v>0.10191591259374307</v>
      </c>
    </row>
    <row r="93" spans="1:8" ht="15.5">
      <c r="A93" s="1" t="s">
        <v>10</v>
      </c>
      <c r="B93" s="1" t="s">
        <v>14</v>
      </c>
      <c r="C93" s="1" t="s">
        <v>5</v>
      </c>
      <c r="D93" s="11">
        <v>0</v>
      </c>
      <c r="E93" s="11">
        <f>_xlfn.STDEV.P(E12,E32,E52)/E73</f>
        <v>0</v>
      </c>
      <c r="F93" s="16">
        <f>_xlfn.STDEV.P(F12,F32,F52)/F73</f>
        <v>0</v>
      </c>
      <c r="G93" s="16">
        <f>_xlfn.STDEV.P(G12,G32,G52)/G73</f>
        <v>0</v>
      </c>
      <c r="H93" s="14">
        <f>_xlfn.STDEV.P(H12,H32,H52)/H73</f>
        <v>4.6788721085153561E-3</v>
      </c>
    </row>
    <row r="94" spans="1:8" ht="15.5">
      <c r="A94" s="1" t="s">
        <v>10</v>
      </c>
      <c r="B94" s="1" t="s">
        <v>14</v>
      </c>
      <c r="C94" s="1" t="s">
        <v>6</v>
      </c>
      <c r="D94" s="11">
        <v>0</v>
      </c>
      <c r="E94" s="11">
        <f>_xlfn.STDEV.P(E13,E33,E53)/E74</f>
        <v>0</v>
      </c>
      <c r="F94" s="11">
        <f>_xlfn.STDEV.P(F13,F33,F53)/F74</f>
        <v>0</v>
      </c>
      <c r="G94" s="11">
        <f>_xlfn.STDEV.P(G13,G33,G53)/G74</f>
        <v>0</v>
      </c>
      <c r="H94" s="77">
        <f>_xlfn.STDEV.P(H13,H33,H53)/H74</f>
        <v>4.0239878531699289E-2</v>
      </c>
    </row>
    <row r="95" spans="1:8" ht="15.5">
      <c r="A95" s="1" t="s">
        <v>10</v>
      </c>
      <c r="B95" s="1" t="s">
        <v>14</v>
      </c>
      <c r="C95" s="1" t="s">
        <v>7</v>
      </c>
      <c r="D95" s="30">
        <v>1414</v>
      </c>
      <c r="E95" s="11">
        <f>_xlfn.STDEV.P(E14,E34,E54)/E75</f>
        <v>0</v>
      </c>
      <c r="F95" s="11">
        <f>_xlfn.STDEV.P(F14,F34,F54)/F75</f>
        <v>0</v>
      </c>
      <c r="G95" s="16">
        <f>_xlfn.STDEV.P(G14,G34,G54)/G75</f>
        <v>0</v>
      </c>
      <c r="H95" s="68">
        <f>_xlfn.STDEV.P(H14,H34,H54)/H75</f>
        <v>1.4142135623730951</v>
      </c>
    </row>
    <row r="96" spans="1:8" ht="15.5">
      <c r="A96" s="1" t="s">
        <v>10</v>
      </c>
      <c r="B96" s="1" t="s">
        <v>14</v>
      </c>
      <c r="C96" s="1" t="s">
        <v>8</v>
      </c>
      <c r="D96" s="11">
        <v>3.5000000000000003E-2</v>
      </c>
      <c r="E96" s="11">
        <f>_xlfn.STDEV.P(E15,E35,E55)/E76</f>
        <v>0</v>
      </c>
      <c r="F96" s="16">
        <f>_xlfn.STDEV.P(F15,F35,F55)/F76</f>
        <v>0</v>
      </c>
      <c r="G96" s="16">
        <f>_xlfn.STDEV.P(G15,G35,G55)/G76</f>
        <v>0</v>
      </c>
      <c r="H96" s="14">
        <f>_xlfn.STDEV.P(H15,H35,H55)/H76</f>
        <v>0.13805602059286037</v>
      </c>
    </row>
    <row r="97" spans="1:9" ht="15.5">
      <c r="A97" s="1" t="s">
        <v>12</v>
      </c>
      <c r="B97" s="1" t="s">
        <v>14</v>
      </c>
      <c r="C97" s="1" t="s">
        <v>4</v>
      </c>
      <c r="D97" s="27">
        <v>0</v>
      </c>
      <c r="E97" s="26">
        <f>_xlfn.STDEV.P(E16,E36,E56)/E77</f>
        <v>1.4142135623730951</v>
      </c>
      <c r="F97" s="26">
        <f>_xlfn.STDEV.P(F16,F36,F56)/F77</f>
        <v>0.70710678118654757</v>
      </c>
      <c r="G97" s="26">
        <f>_xlfn.STDEV.P(G16,G36,G56)/G77</f>
        <v>0.70710678118654757</v>
      </c>
      <c r="H97" s="27">
        <f>_xlfn.STDEV.P(H16,H36,H56)/H77</f>
        <v>0</v>
      </c>
    </row>
    <row r="98" spans="1:9" ht="15.5">
      <c r="A98" s="1" t="s">
        <v>12</v>
      </c>
      <c r="B98" s="1" t="s">
        <v>14</v>
      </c>
      <c r="C98" s="1" t="s">
        <v>5</v>
      </c>
      <c r="D98" s="38" t="s">
        <v>11</v>
      </c>
      <c r="E98" s="27">
        <f>_xlfn.STDEV.P(E17,E37,E57)/E78</f>
        <v>0</v>
      </c>
      <c r="F98" s="26">
        <f>_xlfn.STDEV.P(F17,F37,F57)/F78</f>
        <v>0.46111719605695495</v>
      </c>
      <c r="G98" s="26">
        <f>_xlfn.STDEV.P(G17,G37,G57)/G78</f>
        <v>0.51861702127659559</v>
      </c>
      <c r="H98" s="26">
        <f>_xlfn.STDEV.P(H17,H37,H57)/H78</f>
        <v>0.43487077800978841</v>
      </c>
      <c r="I98" s="67"/>
    </row>
    <row r="99" spans="1:9" ht="15.5">
      <c r="A99" s="1" t="s">
        <v>12</v>
      </c>
      <c r="B99" s="1" t="s">
        <v>14</v>
      </c>
      <c r="C99" s="1" t="s">
        <v>6</v>
      </c>
      <c r="D99" s="38" t="s">
        <v>11</v>
      </c>
      <c r="E99" s="27">
        <f>_xlfn.STDEV.P(E18,E38,E58)/E79</f>
        <v>0</v>
      </c>
      <c r="F99" s="32">
        <f>_xlfn.STDEV.P(F18,F38,F58)/F79</f>
        <v>0</v>
      </c>
      <c r="G99" s="27">
        <f>_xlfn.STDEV.P(G18,G38,G58)/G79</f>
        <v>0</v>
      </c>
      <c r="H99" s="27">
        <f>_xlfn.STDEV.P(H18,H38,H58)/H79</f>
        <v>0</v>
      </c>
    </row>
    <row r="100" spans="1:9" ht="15.5">
      <c r="A100" s="1" t="s">
        <v>12</v>
      </c>
      <c r="B100" s="1" t="s">
        <v>14</v>
      </c>
      <c r="C100" s="1" t="s">
        <v>7</v>
      </c>
      <c r="D100" s="38" t="s">
        <v>11</v>
      </c>
      <c r="E100" s="27">
        <f>_xlfn.STDEV.P(E19,E39,E59)/E80</f>
        <v>0</v>
      </c>
      <c r="F100" s="32">
        <f>_xlfn.STDEV.P(F19,F39,F59)/F80</f>
        <v>0</v>
      </c>
      <c r="G100" s="32">
        <f>_xlfn.STDEV.P(G19,G39,G59)/G80</f>
        <v>0</v>
      </c>
      <c r="H100" s="27">
        <f>_xlfn.STDEV.P(H19,H39,H59)/H80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dcterms:created xsi:type="dcterms:W3CDTF">2015-06-05T18:17:20Z</dcterms:created>
  <dcterms:modified xsi:type="dcterms:W3CDTF">2025-11-13T20:53:11Z</dcterms:modified>
</cp:coreProperties>
</file>