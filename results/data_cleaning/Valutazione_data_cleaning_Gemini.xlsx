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6867E390-D5EC-4E08-B761-04C4F1A75B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63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H100" i="1"/>
  <c r="G100" i="1"/>
  <c r="I39" i="1"/>
  <c r="J39" i="1"/>
  <c r="F77" i="1" l="1"/>
  <c r="F78" i="1"/>
  <c r="F79" i="1"/>
  <c r="F80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9" i="1"/>
  <c r="I54" i="1"/>
  <c r="I43" i="1"/>
  <c r="I44" i="1"/>
  <c r="I45" i="1"/>
  <c r="I46" i="1"/>
  <c r="I47" i="1"/>
  <c r="I48" i="1"/>
  <c r="I49" i="1"/>
  <c r="I50" i="1"/>
  <c r="J50" i="1" s="1"/>
  <c r="I51" i="1"/>
  <c r="I52" i="1"/>
  <c r="I53" i="1"/>
  <c r="I55" i="1"/>
  <c r="I56" i="1"/>
  <c r="I57" i="1"/>
  <c r="I58" i="1"/>
  <c r="I59" i="1"/>
  <c r="J59" i="1" s="1"/>
  <c r="J48" i="1"/>
  <c r="I4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J18" i="1" s="1"/>
  <c r="I19" i="1"/>
  <c r="I3" i="1"/>
  <c r="J3" i="1" s="1"/>
  <c r="I2" i="1"/>
  <c r="J2" i="1" s="1"/>
  <c r="J33" i="1"/>
  <c r="J22" i="1"/>
  <c r="I23" i="1"/>
  <c r="I24" i="1"/>
  <c r="I25" i="1"/>
  <c r="J25" i="1" s="1"/>
  <c r="I26" i="1"/>
  <c r="J26" i="1" s="1"/>
  <c r="I27" i="1"/>
  <c r="I28" i="1"/>
  <c r="I29" i="1"/>
  <c r="J29" i="1" s="1"/>
  <c r="I30" i="1"/>
  <c r="J30" i="1" s="1"/>
  <c r="I31" i="1"/>
  <c r="I32" i="1"/>
  <c r="I33" i="1"/>
  <c r="I34" i="1"/>
  <c r="J34" i="1" s="1"/>
  <c r="I35" i="1"/>
  <c r="I36" i="1"/>
  <c r="I37" i="1"/>
  <c r="J37" i="1" s="1"/>
  <c r="I38" i="1"/>
  <c r="J38" i="1" s="1"/>
  <c r="I22" i="1"/>
  <c r="J46" i="1"/>
  <c r="J54" i="1"/>
  <c r="J58" i="1"/>
  <c r="J42" i="1"/>
  <c r="J56" i="1"/>
  <c r="J43" i="1"/>
  <c r="J44" i="1"/>
  <c r="J45" i="1"/>
  <c r="J47" i="1"/>
  <c r="J49" i="1"/>
  <c r="J51" i="1"/>
  <c r="J52" i="1"/>
  <c r="J53" i="1"/>
  <c r="J55" i="1"/>
  <c r="J23" i="1"/>
  <c r="J24" i="1"/>
  <c r="J27" i="1"/>
  <c r="J28" i="1"/>
  <c r="J31" i="1"/>
  <c r="J32" i="1"/>
  <c r="J35" i="1"/>
  <c r="J36" i="1"/>
  <c r="F83" i="1"/>
  <c r="H86" i="1"/>
  <c r="H88" i="1"/>
  <c r="H89" i="1"/>
  <c r="H90" i="1"/>
  <c r="H91" i="1"/>
  <c r="H92" i="1"/>
  <c r="H93" i="1"/>
  <c r="H94" i="1"/>
  <c r="H95" i="1"/>
  <c r="H96" i="1"/>
  <c r="H97" i="1"/>
  <c r="H99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F86" i="1"/>
  <c r="F85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E77" i="1" l="1"/>
  <c r="E96" i="1"/>
  <c r="E95" i="1"/>
  <c r="E94" i="1"/>
  <c r="E93" i="1"/>
  <c r="E92" i="1"/>
  <c r="E91" i="1"/>
  <c r="E90" i="1"/>
  <c r="E89" i="1"/>
  <c r="E88" i="1"/>
  <c r="H77" i="1" l="1"/>
  <c r="H83" i="1"/>
  <c r="H78" i="1"/>
  <c r="H79" i="1"/>
  <c r="H80" i="1"/>
  <c r="G83" i="1"/>
  <c r="G84" i="1"/>
  <c r="G77" i="1"/>
  <c r="G78" i="1"/>
  <c r="G79" i="1"/>
  <c r="G80" i="1"/>
  <c r="H84" i="1" l="1"/>
  <c r="F84" i="1" l="1"/>
</calcChain>
</file>

<file path=xl/sharedStrings.xml><?xml version="1.0" encoding="utf-8"?>
<sst xmlns="http://schemas.openxmlformats.org/spreadsheetml/2006/main" count="341" uniqueCount="31">
  <si>
    <t xml:space="preserve">Subtask </t>
  </si>
  <si>
    <t xml:space="preserve">Dirtiness </t>
  </si>
  <si>
    <t xml:space="preserve">Metric </t>
  </si>
  <si>
    <t xml:space="preserve">OUT </t>
  </si>
  <si>
    <t xml:space="preserve">COM </t>
  </si>
  <si>
    <t xml:space="preserve">ACC </t>
  </si>
  <si>
    <t xml:space="preserve">PRE </t>
  </si>
  <si>
    <t xml:space="preserve">REA </t>
  </si>
  <si>
    <t xml:space="preserve">SPE </t>
  </si>
  <si>
    <t xml:space="preserve">STA </t>
  </si>
  <si>
    <t xml:space="preserve">IMP </t>
  </si>
  <si>
    <t xml:space="preserve">N/A </t>
  </si>
  <si>
    <t xml:space="preserve">DED </t>
  </si>
  <si>
    <t xml:space="preserve">Mean </t>
  </si>
  <si>
    <t xml:space="preserve">CV </t>
  </si>
  <si>
    <t>Mean</t>
  </si>
  <si>
    <t>CV</t>
  </si>
  <si>
    <t>BEST MODEL</t>
  </si>
  <si>
    <t>ALL</t>
  </si>
  <si>
    <r>
      <t>DET,</t>
    </r>
    <r>
      <rPr>
        <b/>
        <sz val="12"/>
        <color theme="9" tint="-0.249977111117893"/>
        <rFont val="SFRM1200"/>
      </rPr>
      <t xml:space="preserve"> </t>
    </r>
    <r>
      <rPr>
        <b/>
        <sz val="12"/>
        <color theme="4"/>
        <rFont val="SFRM1200"/>
      </rPr>
      <t>FEW</t>
    </r>
  </si>
  <si>
    <t>DET</t>
  </si>
  <si>
    <r>
      <t xml:space="preserve">DET, </t>
    </r>
    <r>
      <rPr>
        <b/>
        <sz val="12"/>
        <color theme="9" tint="-0.249977111117893"/>
        <rFont val="SFRM1200"/>
      </rPr>
      <t xml:space="preserve">KNO, </t>
    </r>
    <r>
      <rPr>
        <b/>
        <sz val="12"/>
        <color theme="4"/>
        <rFont val="SFRM1200"/>
      </rPr>
      <t>FEW</t>
    </r>
  </si>
  <si>
    <t>2.0_ZERO</t>
  </si>
  <si>
    <r>
      <rPr>
        <b/>
        <sz val="12"/>
        <color rgb="FF7030A0"/>
        <rFont val="SFRM1200"/>
      </rPr>
      <t>2.0_ZERO</t>
    </r>
    <r>
      <rPr>
        <b/>
        <sz val="12"/>
        <color theme="5"/>
        <rFont val="SFRM1200"/>
      </rPr>
      <t xml:space="preserve">, DET, </t>
    </r>
    <r>
      <rPr>
        <b/>
        <sz val="12"/>
        <color theme="9" tint="-0.249977111117893"/>
        <rFont val="SFRM1200"/>
      </rPr>
      <t xml:space="preserve">KNO, </t>
    </r>
    <r>
      <rPr>
        <b/>
        <sz val="12"/>
        <color theme="4"/>
        <rFont val="SFRM1200"/>
      </rPr>
      <t>FEW</t>
    </r>
  </si>
  <si>
    <r>
      <rPr>
        <b/>
        <sz val="12"/>
        <color rgb="FF7030A0"/>
        <rFont val="SFRM1200"/>
      </rPr>
      <t>2.0_ZERO</t>
    </r>
    <r>
      <rPr>
        <b/>
        <sz val="12"/>
        <color theme="5"/>
        <rFont val="SFRM1200"/>
      </rPr>
      <t>, DET,</t>
    </r>
    <r>
      <rPr>
        <b/>
        <sz val="12"/>
        <color theme="9" tint="-0.249977111117893"/>
        <rFont val="SFRM1200"/>
      </rPr>
      <t xml:space="preserve"> </t>
    </r>
    <r>
      <rPr>
        <b/>
        <sz val="12"/>
        <color theme="4"/>
        <rFont val="SFRM1200"/>
      </rPr>
      <t>FEW</t>
    </r>
  </si>
  <si>
    <t>1.5_
ZERO</t>
  </si>
  <si>
    <t>2.0_
ZERO</t>
  </si>
  <si>
    <t>KNO</t>
  </si>
  <si>
    <t>FEW</t>
  </si>
  <si>
    <r>
      <t xml:space="preserve">DET, </t>
    </r>
    <r>
      <rPr>
        <b/>
        <sz val="12"/>
        <color theme="9" tint="-0.249977111117893"/>
        <rFont val="SFRM1200"/>
      </rPr>
      <t>KNO</t>
    </r>
  </si>
  <si>
    <t>1.5_ZERO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</si>
</sst>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\ _€"/>
  </numFmts>
  <fonts count="18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sz val="12"/>
      <color rgb="FFDC0000"/>
      <name val="SFRM1200"/>
    </font>
    <font>
      <sz val="12"/>
      <color rgb="FFCC7722"/>
      <name val="SFRM1200"/>
    </font>
    <font>
      <sz val="12"/>
      <color rgb="FF1EAA00"/>
      <name val="SFRM1200"/>
    </font>
    <font>
      <sz val="12"/>
      <color rgb="FF8B4513"/>
      <name val="SFRM1200"/>
    </font>
    <font>
      <sz val="12"/>
      <color rgb="FF000000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8B4513"/>
      <name val="SFBX1200"/>
    </font>
    <font>
      <b/>
      <sz val="12"/>
      <color rgb="FFDC0000"/>
      <name val="SFRM1200"/>
    </font>
    <font>
      <b/>
      <sz val="12"/>
      <color theme="1"/>
      <name val="SFRM1200"/>
    </font>
    <font>
      <b/>
      <sz val="12"/>
      <color theme="4"/>
      <name val="SFRM1200"/>
    </font>
    <font>
      <b/>
      <sz val="12"/>
      <color theme="5"/>
      <name val="SFRM1200"/>
    </font>
    <font>
      <b/>
      <sz val="12"/>
      <color theme="9" tint="-0.249977111117893"/>
      <name val="SFRM1200"/>
    </font>
    <font>
      <b/>
      <sz val="12"/>
      <color rgb="FF7030A0"/>
      <name val="SFRM1200"/>
    </font>
    <font>
      <b/>
      <sz val="12"/>
      <color rgb="FFFF0000"/>
      <name val="SFRM1200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1" fontId="9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65" fontId="9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64" fontId="9" fillId="2" borderId="1" xfId="0" applyNumberFormat="1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" fontId="0" fillId="0" borderId="0" xfId="0" applyNumberFormat="1"/>
    <xf numFmtId="166" fontId="0" fillId="0" borderId="0" xfId="0" applyNumberFormat="1"/>
    <xf numFmtId="0" fontId="9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5" fontId="8" fillId="2" borderId="1" xfId="0" applyNumberFormat="1" applyFont="1" applyFill="1" applyBorder="1" applyAlignment="1">
      <alignment vertical="center" wrapText="1"/>
    </xf>
    <xf numFmtId="2" fontId="11" fillId="0" borderId="1" xfId="0" applyNumberFormat="1" applyFont="1" applyBorder="1" applyAlignment="1">
      <alignment vertical="center" wrapText="1"/>
    </xf>
    <xf numFmtId="165" fontId="11" fillId="0" borderId="1" xfId="0" applyNumberFormat="1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  <xf numFmtId="165" fontId="8" fillId="3" borderId="1" xfId="0" applyNumberFormat="1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165" fontId="7" fillId="3" borderId="1" xfId="0" applyNumberFormat="1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164" fontId="9" fillId="3" borderId="1" xfId="0" applyNumberFormat="1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8" fillId="3" borderId="1" xfId="0" applyNumberFormat="1" applyFont="1" applyFill="1" applyBorder="1" applyAlignment="1">
      <alignment vertical="center" wrapText="1"/>
    </xf>
    <xf numFmtId="1" fontId="9" fillId="2" borderId="1" xfId="0" applyNumberFormat="1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56" zoomScale="62" zoomScaleNormal="118" workbookViewId="0">
      <selection activeCell="J76" sqref="J76"/>
    </sheetView>
  </sheetViews>
  <sheetFormatPr defaultRowHeight="14.5"/>
  <cols>
    <col min="2" max="2" width="10.6328125" customWidth="1"/>
    <col min="4" max="4" width="18.81640625" customWidth="1"/>
    <col min="5" max="5" width="19.453125" customWidth="1"/>
    <col min="6" max="6" width="18.453125" customWidth="1"/>
    <col min="7" max="7" width="22.26953125" customWidth="1"/>
    <col min="8" max="8" width="15.26953125" customWidth="1"/>
    <col min="9" max="9" width="15.36328125" customWidth="1"/>
    <col min="10" max="10" width="13.26953125" customWidth="1"/>
    <col min="11" max="11" width="66.90625" customWidth="1"/>
  </cols>
  <sheetData>
    <row r="1" spans="1:10" ht="31">
      <c r="A1" s="1" t="s">
        <v>0</v>
      </c>
      <c r="B1" s="1" t="s">
        <v>1</v>
      </c>
      <c r="C1" s="1" t="s">
        <v>2</v>
      </c>
      <c r="D1" s="58" t="s">
        <v>25</v>
      </c>
      <c r="E1" s="58" t="s">
        <v>26</v>
      </c>
      <c r="F1" s="58" t="s">
        <v>20</v>
      </c>
      <c r="G1" s="58" t="s">
        <v>27</v>
      </c>
      <c r="H1" s="58" t="s">
        <v>28</v>
      </c>
      <c r="I1" s="1" t="s">
        <v>15</v>
      </c>
      <c r="J1" s="1" t="s">
        <v>16</v>
      </c>
    </row>
    <row r="2" spans="1:10" ht="15.5">
      <c r="A2" s="1" t="s">
        <v>3</v>
      </c>
      <c r="B2" s="2">
        <v>0.1</v>
      </c>
      <c r="C2" s="1" t="s">
        <v>4</v>
      </c>
      <c r="D2" s="4">
        <v>0.6</v>
      </c>
      <c r="E2" s="3">
        <v>0</v>
      </c>
      <c r="F2" s="4">
        <v>0.6</v>
      </c>
      <c r="G2" s="3">
        <v>0.4</v>
      </c>
      <c r="H2" s="5">
        <v>1</v>
      </c>
      <c r="I2" s="17">
        <f>AVERAGE(D2,E2,F2,G2,H2)</f>
        <v>0.52</v>
      </c>
      <c r="J2" s="20">
        <f>_xlfn.STDEV.P(D2,E2,F2,G2,H2)/I2</f>
        <v>0.62492603112584277</v>
      </c>
    </row>
    <row r="3" spans="1:10" ht="15.5">
      <c r="A3" s="1" t="s">
        <v>3</v>
      </c>
      <c r="B3" s="2">
        <v>0.1</v>
      </c>
      <c r="C3" s="1" t="s">
        <v>5</v>
      </c>
      <c r="D3" s="3">
        <v>0.30099999999999999</v>
      </c>
      <c r="E3" s="7" t="s">
        <v>11</v>
      </c>
      <c r="F3" s="5">
        <v>0.91200000000000003</v>
      </c>
      <c r="G3" s="5">
        <v>0.94</v>
      </c>
      <c r="H3" s="5">
        <v>0.74</v>
      </c>
      <c r="I3" s="21">
        <f>AVERAGE(D3,E3,F3,G3,H3)</f>
        <v>0.72324999999999995</v>
      </c>
      <c r="J3" s="17">
        <f t="shared" ref="J3:J17" si="0">_xlfn.STDEV.P(D3,E3,F3,G3,H3)/I3</f>
        <v>0.35330827319182984</v>
      </c>
    </row>
    <row r="4" spans="1:10" ht="15.5">
      <c r="A4" s="1" t="s">
        <v>3</v>
      </c>
      <c r="B4" s="2">
        <v>0.1</v>
      </c>
      <c r="C4" s="1" t="s">
        <v>6</v>
      </c>
      <c r="D4" s="3">
        <v>0.33300000000000002</v>
      </c>
      <c r="E4" s="7" t="s">
        <v>11</v>
      </c>
      <c r="F4" s="5">
        <v>1</v>
      </c>
      <c r="G4" s="5">
        <v>1</v>
      </c>
      <c r="H4" s="3">
        <v>0</v>
      </c>
      <c r="I4" s="15">
        <f t="shared" ref="I4:I19" si="1">AVERAGE(D4,E4,F4,G4,H4)</f>
        <v>0.58325000000000005</v>
      </c>
      <c r="J4" s="20">
        <f t="shared" si="0"/>
        <v>0.74249607508893067</v>
      </c>
    </row>
    <row r="5" spans="1:10" ht="15.5">
      <c r="A5" s="1" t="s">
        <v>3</v>
      </c>
      <c r="B5" s="2">
        <v>0.1</v>
      </c>
      <c r="C5" s="1" t="s">
        <v>7</v>
      </c>
      <c r="D5" s="4">
        <v>0.5</v>
      </c>
      <c r="E5" s="7" t="s">
        <v>11</v>
      </c>
      <c r="F5" s="3">
        <v>0.26700000000000002</v>
      </c>
      <c r="G5" s="5">
        <v>0.8</v>
      </c>
      <c r="H5" s="5">
        <v>0.8</v>
      </c>
      <c r="I5" s="15">
        <f t="shared" si="1"/>
        <v>0.59175</v>
      </c>
      <c r="J5" s="20">
        <f t="shared" si="0"/>
        <v>0.37845594607740102</v>
      </c>
    </row>
    <row r="6" spans="1:10" ht="15.5">
      <c r="A6" s="1" t="s">
        <v>3</v>
      </c>
      <c r="B6" s="2">
        <v>0.1</v>
      </c>
      <c r="C6" s="1" t="s">
        <v>8</v>
      </c>
      <c r="D6" s="4">
        <v>0.66700000000000004</v>
      </c>
      <c r="E6" s="7" t="s">
        <v>11</v>
      </c>
      <c r="F6" s="4">
        <v>0.5</v>
      </c>
      <c r="G6" s="5">
        <v>0.75</v>
      </c>
      <c r="H6" s="3">
        <v>0</v>
      </c>
      <c r="I6" s="20">
        <f t="shared" si="1"/>
        <v>0.47925000000000001</v>
      </c>
      <c r="J6" s="20">
        <f t="shared" si="0"/>
        <v>0.60714743252248782</v>
      </c>
    </row>
    <row r="7" spans="1:10" ht="15.5">
      <c r="A7" s="1" t="s">
        <v>9</v>
      </c>
      <c r="B7" s="2">
        <v>0.1</v>
      </c>
      <c r="C7" s="1" t="s">
        <v>4</v>
      </c>
      <c r="D7" s="4">
        <v>0.625</v>
      </c>
      <c r="E7" s="5">
        <v>0.75</v>
      </c>
      <c r="F7" s="5">
        <v>0.75</v>
      </c>
      <c r="G7" s="4">
        <v>0.625</v>
      </c>
      <c r="H7" s="5">
        <v>0.75</v>
      </c>
      <c r="I7" s="45">
        <f t="shared" si="1"/>
        <v>0.7</v>
      </c>
      <c r="J7" s="14">
        <f t="shared" si="0"/>
        <v>8.7481776527970664E-2</v>
      </c>
    </row>
    <row r="8" spans="1:10" ht="15.5">
      <c r="A8" s="1" t="s">
        <v>9</v>
      </c>
      <c r="B8" s="2">
        <v>0.1</v>
      </c>
      <c r="C8" s="1" t="s">
        <v>5</v>
      </c>
      <c r="D8" s="5">
        <v>1</v>
      </c>
      <c r="E8" s="5">
        <v>0.96699999999999997</v>
      </c>
      <c r="F8" s="5">
        <v>0.83299999999999996</v>
      </c>
      <c r="G8" s="5">
        <v>0.96</v>
      </c>
      <c r="H8" s="4">
        <v>0.63300000000000001</v>
      </c>
      <c r="I8" s="14">
        <f t="shared" si="1"/>
        <v>0.87859999999999994</v>
      </c>
      <c r="J8" s="14">
        <f t="shared" si="0"/>
        <v>0.15403431417551908</v>
      </c>
    </row>
    <row r="9" spans="1:10" ht="15.5">
      <c r="A9" s="1" t="s">
        <v>9</v>
      </c>
      <c r="B9" s="2">
        <v>0.1</v>
      </c>
      <c r="C9" s="1" t="s">
        <v>6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16">
        <f t="shared" si="1"/>
        <v>1</v>
      </c>
      <c r="J9" s="16">
        <f t="shared" si="0"/>
        <v>0</v>
      </c>
    </row>
    <row r="10" spans="1:10" ht="15.5">
      <c r="A10" s="1" t="s">
        <v>9</v>
      </c>
      <c r="B10" s="2">
        <v>0.1</v>
      </c>
      <c r="C10" s="1" t="s">
        <v>7</v>
      </c>
      <c r="D10" s="4">
        <v>0.5</v>
      </c>
      <c r="E10" s="5">
        <v>0.8</v>
      </c>
      <c r="F10" s="5">
        <v>0.8</v>
      </c>
      <c r="G10" s="5">
        <v>0.8</v>
      </c>
      <c r="H10" s="5">
        <v>0.8</v>
      </c>
      <c r="I10" s="21">
        <f t="shared" si="1"/>
        <v>0.74</v>
      </c>
      <c r="J10" s="14">
        <f t="shared" si="0"/>
        <v>0.16216216216216245</v>
      </c>
    </row>
    <row r="11" spans="1:10" ht="15.5">
      <c r="A11" s="1" t="s">
        <v>10</v>
      </c>
      <c r="B11" s="2">
        <v>0.1</v>
      </c>
      <c r="C11" s="1" t="s">
        <v>4</v>
      </c>
      <c r="D11" s="6">
        <v>0.63900000000000001</v>
      </c>
      <c r="E11" s="3">
        <v>0</v>
      </c>
      <c r="F11" s="6">
        <v>0.69399999999999995</v>
      </c>
      <c r="G11" s="6">
        <v>0.58299999999999996</v>
      </c>
      <c r="H11" s="6">
        <v>0.66700000000000004</v>
      </c>
      <c r="I11" s="15">
        <f t="shared" si="1"/>
        <v>0.51660000000000006</v>
      </c>
      <c r="J11" s="20">
        <f t="shared" si="0"/>
        <v>0.50504266395009678</v>
      </c>
    </row>
    <row r="12" spans="1:10" ht="15.5">
      <c r="A12" s="1" t="s">
        <v>10</v>
      </c>
      <c r="B12" s="2">
        <v>0.1</v>
      </c>
      <c r="C12" s="1" t="s">
        <v>5</v>
      </c>
      <c r="D12" s="8">
        <v>0.70399999999999996</v>
      </c>
      <c r="E12" s="7" t="s">
        <v>11</v>
      </c>
      <c r="F12" s="8">
        <v>0.89600000000000002</v>
      </c>
      <c r="G12" s="6">
        <v>0.68600000000000005</v>
      </c>
      <c r="H12" s="5">
        <v>0.84199999999999997</v>
      </c>
      <c r="I12" s="14">
        <f t="shared" si="1"/>
        <v>0.78200000000000003</v>
      </c>
      <c r="J12" s="14">
        <f t="shared" si="0"/>
        <v>0.11419086495757402</v>
      </c>
    </row>
    <row r="13" spans="1:10" ht="15.5">
      <c r="A13" s="1" t="s">
        <v>10</v>
      </c>
      <c r="B13" s="2">
        <v>0.1</v>
      </c>
      <c r="C13" s="1" t="s">
        <v>6</v>
      </c>
      <c r="D13" s="5">
        <v>1</v>
      </c>
      <c r="E13" s="7" t="s">
        <v>11</v>
      </c>
      <c r="F13" s="5">
        <v>1</v>
      </c>
      <c r="G13" s="5">
        <v>1</v>
      </c>
      <c r="H13" s="5">
        <v>1</v>
      </c>
      <c r="I13" s="16">
        <f t="shared" si="1"/>
        <v>1</v>
      </c>
      <c r="J13" s="16">
        <f t="shared" si="0"/>
        <v>0</v>
      </c>
    </row>
    <row r="14" spans="1:10" ht="15.5">
      <c r="A14" s="1" t="s">
        <v>10</v>
      </c>
      <c r="B14" s="2">
        <v>0.1</v>
      </c>
      <c r="C14" s="1" t="s">
        <v>7</v>
      </c>
      <c r="D14" s="4">
        <v>0.5</v>
      </c>
      <c r="E14" s="7" t="s">
        <v>11</v>
      </c>
      <c r="F14" s="5">
        <v>0.8</v>
      </c>
      <c r="G14" s="5">
        <v>0.8</v>
      </c>
      <c r="H14" s="5">
        <v>0.8</v>
      </c>
      <c r="I14" s="14">
        <f t="shared" si="1"/>
        <v>0.72500000000000009</v>
      </c>
      <c r="J14" s="14">
        <f t="shared" si="0"/>
        <v>0.17917766974850438</v>
      </c>
    </row>
    <row r="15" spans="1:10" ht="15.5">
      <c r="A15" s="1" t="s">
        <v>10</v>
      </c>
      <c r="B15" s="2">
        <v>0.1</v>
      </c>
      <c r="C15" s="1" t="s">
        <v>8</v>
      </c>
      <c r="D15" s="5">
        <v>1</v>
      </c>
      <c r="E15" s="7" t="s">
        <v>11</v>
      </c>
      <c r="F15" s="5">
        <v>0.70499999999999996</v>
      </c>
      <c r="G15" s="5">
        <v>0.82699999999999996</v>
      </c>
      <c r="H15" s="6">
        <v>0.61299999999999999</v>
      </c>
      <c r="I15" s="14">
        <f t="shared" si="1"/>
        <v>0.78625</v>
      </c>
      <c r="J15" s="14">
        <f t="shared" si="0"/>
        <v>0.18427355646844254</v>
      </c>
    </row>
    <row r="16" spans="1:10" ht="15.5">
      <c r="A16" s="1" t="s">
        <v>12</v>
      </c>
      <c r="B16" s="2">
        <v>0.1</v>
      </c>
      <c r="C16" s="1" t="s">
        <v>4</v>
      </c>
      <c r="D16" s="3">
        <v>0</v>
      </c>
      <c r="E16" s="3">
        <v>0</v>
      </c>
      <c r="F16" s="5">
        <v>1</v>
      </c>
      <c r="G16" s="3">
        <v>0</v>
      </c>
      <c r="H16" s="5">
        <v>1</v>
      </c>
      <c r="I16" s="43">
        <f t="shared" si="1"/>
        <v>0.4</v>
      </c>
      <c r="J16" s="20">
        <f t="shared" si="0"/>
        <v>1.2247448713915889</v>
      </c>
    </row>
    <row r="17" spans="1:10" ht="15.5">
      <c r="A17" s="1" t="s">
        <v>12</v>
      </c>
      <c r="B17" s="2">
        <v>0.1</v>
      </c>
      <c r="C17" s="1" t="s">
        <v>5</v>
      </c>
      <c r="D17" s="7" t="s">
        <v>11</v>
      </c>
      <c r="E17" s="7" t="s">
        <v>11</v>
      </c>
      <c r="F17" s="6">
        <v>0.57099999999999995</v>
      </c>
      <c r="G17" s="7" t="s">
        <v>11</v>
      </c>
      <c r="H17" s="3">
        <v>0</v>
      </c>
      <c r="I17" s="20">
        <f t="shared" si="1"/>
        <v>0.28549999999999998</v>
      </c>
      <c r="J17" s="44">
        <f t="shared" si="0"/>
        <v>1</v>
      </c>
    </row>
    <row r="18" spans="1:10" ht="15.5">
      <c r="A18" s="1" t="s">
        <v>12</v>
      </c>
      <c r="B18" s="2">
        <v>0.1</v>
      </c>
      <c r="C18" s="1" t="s">
        <v>6</v>
      </c>
      <c r="D18" s="7" t="s">
        <v>11</v>
      </c>
      <c r="E18" s="7" t="s">
        <v>11</v>
      </c>
      <c r="F18" s="5">
        <v>1</v>
      </c>
      <c r="G18" s="7" t="s">
        <v>11</v>
      </c>
      <c r="H18" s="5">
        <v>1</v>
      </c>
      <c r="I18" s="45">
        <f t="shared" si="1"/>
        <v>1</v>
      </c>
      <c r="J18" s="44">
        <f>_xlfn.STDEV.P(D18,E18,F18,G18,H18)/I18</f>
        <v>0</v>
      </c>
    </row>
    <row r="19" spans="1:10" ht="15.5">
      <c r="A19" s="1" t="s">
        <v>12</v>
      </c>
      <c r="B19" s="2">
        <v>0.1</v>
      </c>
      <c r="C19" s="1" t="s">
        <v>7</v>
      </c>
      <c r="D19" s="7" t="s">
        <v>11</v>
      </c>
      <c r="E19" s="7" t="s">
        <v>11</v>
      </c>
      <c r="F19" s="5">
        <v>1</v>
      </c>
      <c r="G19" s="7" t="s">
        <v>11</v>
      </c>
      <c r="H19" s="5">
        <v>0.8</v>
      </c>
      <c r="I19" s="19">
        <f t="shared" si="1"/>
        <v>0.9</v>
      </c>
      <c r="J19" s="14">
        <f>_xlfn.STDEV.P(D19,E19,F19,G19,H19)/I19</f>
        <v>0.11111111111111116</v>
      </c>
    </row>
    <row r="21" spans="1:10" ht="31">
      <c r="A21" s="1" t="s">
        <v>0</v>
      </c>
      <c r="B21" s="1" t="s">
        <v>1</v>
      </c>
      <c r="C21" s="1" t="s">
        <v>2</v>
      </c>
      <c r="D21" s="58" t="s">
        <v>25</v>
      </c>
      <c r="E21" s="58" t="s">
        <v>26</v>
      </c>
      <c r="F21" s="58" t="s">
        <v>20</v>
      </c>
      <c r="G21" s="58" t="s">
        <v>27</v>
      </c>
      <c r="H21" s="58" t="s">
        <v>28</v>
      </c>
      <c r="I21" s="1" t="s">
        <v>15</v>
      </c>
      <c r="J21" s="1" t="s">
        <v>16</v>
      </c>
    </row>
    <row r="22" spans="1:10" ht="15.5">
      <c r="A22" s="1" t="s">
        <v>3</v>
      </c>
      <c r="B22" s="2">
        <v>0.3</v>
      </c>
      <c r="C22" s="1" t="s">
        <v>4</v>
      </c>
      <c r="D22" s="3">
        <v>0.2</v>
      </c>
      <c r="E22" s="3">
        <v>0</v>
      </c>
      <c r="F22" s="4">
        <v>0.6</v>
      </c>
      <c r="G22" s="4">
        <v>0.6</v>
      </c>
      <c r="H22" s="4">
        <v>0.6</v>
      </c>
      <c r="I22" s="43">
        <f>AVERAGE(D22,E22,F22,G22,H22)</f>
        <v>0.4</v>
      </c>
      <c r="J22" s="20">
        <f>_xlfn.STDEV.P(D22,E22,F22,G22,H22)/I22</f>
        <v>0.63245553203367588</v>
      </c>
    </row>
    <row r="23" spans="1:10" ht="15.5">
      <c r="A23" s="1" t="s">
        <v>3</v>
      </c>
      <c r="B23" s="2">
        <v>0.3</v>
      </c>
      <c r="C23" s="1" t="s">
        <v>5</v>
      </c>
      <c r="D23" s="3">
        <v>0</v>
      </c>
      <c r="E23" s="7" t="s">
        <v>11</v>
      </c>
      <c r="F23" s="5">
        <v>0.74</v>
      </c>
      <c r="G23" s="3">
        <v>0.41299999999999998</v>
      </c>
      <c r="H23" s="4">
        <v>0.53800000000000003</v>
      </c>
      <c r="I23" s="20">
        <f t="shared" ref="I23:I39" si="2">AVERAGE(D23,E23,F23,G23,H23)</f>
        <v>0.42275000000000001</v>
      </c>
      <c r="J23" s="42">
        <f t="shared" ref="J23:J39" si="3">_xlfn.STDEV.P(D23,E23,F23,G23,H23)/I23</f>
        <v>0.63992556739259088</v>
      </c>
    </row>
    <row r="24" spans="1:10" ht="15.5">
      <c r="A24" s="1" t="s">
        <v>3</v>
      </c>
      <c r="B24" s="2">
        <v>0.3</v>
      </c>
      <c r="C24" s="1" t="s">
        <v>6</v>
      </c>
      <c r="D24" s="5">
        <v>1</v>
      </c>
      <c r="E24" s="7" t="s">
        <v>11</v>
      </c>
      <c r="F24" s="5">
        <v>1</v>
      </c>
      <c r="G24" s="5">
        <v>1</v>
      </c>
      <c r="H24" s="3">
        <v>0</v>
      </c>
      <c r="I24" s="21">
        <f t="shared" si="2"/>
        <v>0.75</v>
      </c>
      <c r="J24" s="20">
        <f t="shared" si="3"/>
        <v>0.57735026918962573</v>
      </c>
    </row>
    <row r="25" spans="1:10" ht="15.5">
      <c r="A25" s="1" t="s">
        <v>3</v>
      </c>
      <c r="B25" s="2">
        <v>0.3</v>
      </c>
      <c r="C25" s="1" t="s">
        <v>7</v>
      </c>
      <c r="D25" s="4">
        <v>0.5</v>
      </c>
      <c r="E25" s="7" t="s">
        <v>11</v>
      </c>
      <c r="F25" s="5">
        <v>0.8</v>
      </c>
      <c r="G25" s="3">
        <v>0</v>
      </c>
      <c r="H25" s="5">
        <v>0.8</v>
      </c>
      <c r="I25" s="15">
        <f t="shared" si="2"/>
        <v>0.52500000000000002</v>
      </c>
      <c r="J25" s="20">
        <f t="shared" si="3"/>
        <v>0.62269984907723919</v>
      </c>
    </row>
    <row r="26" spans="1:10" ht="15.5">
      <c r="A26" s="1" t="s">
        <v>3</v>
      </c>
      <c r="B26" s="2">
        <v>0.3</v>
      </c>
      <c r="C26" s="1" t="s">
        <v>8</v>
      </c>
      <c r="D26" s="5">
        <v>1</v>
      </c>
      <c r="E26" s="7" t="s">
        <v>11</v>
      </c>
      <c r="F26" s="4">
        <v>0.5</v>
      </c>
      <c r="G26" s="5">
        <v>1</v>
      </c>
      <c r="H26" s="3">
        <v>0</v>
      </c>
      <c r="I26" s="15">
        <f t="shared" si="2"/>
        <v>0.625</v>
      </c>
      <c r="J26" s="20">
        <f t="shared" si="3"/>
        <v>0.66332495807107994</v>
      </c>
    </row>
    <row r="27" spans="1:10" ht="15.5">
      <c r="A27" s="1" t="s">
        <v>9</v>
      </c>
      <c r="B27" s="2">
        <v>0.3</v>
      </c>
      <c r="C27" s="1" t="s">
        <v>4</v>
      </c>
      <c r="D27" s="4">
        <v>0.625</v>
      </c>
      <c r="E27" s="5">
        <v>0.75</v>
      </c>
      <c r="F27" s="4">
        <v>0.5</v>
      </c>
      <c r="G27" s="5">
        <v>0.75</v>
      </c>
      <c r="H27" s="3">
        <v>0.375</v>
      </c>
      <c r="I27" s="45">
        <f t="shared" si="2"/>
        <v>0.6</v>
      </c>
      <c r="J27" s="15">
        <f t="shared" si="3"/>
        <v>0.24295632895188754</v>
      </c>
    </row>
    <row r="28" spans="1:10" ht="15.5">
      <c r="A28" s="1" t="s">
        <v>9</v>
      </c>
      <c r="B28" s="2">
        <v>0.3</v>
      </c>
      <c r="C28" s="1" t="s">
        <v>5</v>
      </c>
      <c r="D28" s="5">
        <v>1</v>
      </c>
      <c r="E28" s="5">
        <v>0.8</v>
      </c>
      <c r="F28" s="5">
        <v>0.85</v>
      </c>
      <c r="G28" s="5">
        <v>0.93300000000000005</v>
      </c>
      <c r="H28" s="5">
        <v>1</v>
      </c>
      <c r="I28" s="14">
        <f t="shared" si="2"/>
        <v>0.91660000000000008</v>
      </c>
      <c r="J28" s="14">
        <f t="shared" si="3"/>
        <v>8.7566622116056772E-2</v>
      </c>
    </row>
    <row r="29" spans="1:10" ht="15.5">
      <c r="A29" s="1" t="s">
        <v>9</v>
      </c>
      <c r="B29" s="2">
        <v>0.3</v>
      </c>
      <c r="C29" s="1" t="s">
        <v>6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16">
        <f t="shared" si="2"/>
        <v>1</v>
      </c>
      <c r="J29" s="16">
        <f t="shared" si="3"/>
        <v>0</v>
      </c>
    </row>
    <row r="30" spans="1:10" ht="15.5">
      <c r="A30" s="1" t="s">
        <v>9</v>
      </c>
      <c r="B30" s="2">
        <v>0.3</v>
      </c>
      <c r="C30" s="1" t="s">
        <v>7</v>
      </c>
      <c r="D30" s="4">
        <v>0.5</v>
      </c>
      <c r="E30" s="5">
        <v>0.8</v>
      </c>
      <c r="F30" s="5">
        <v>0.8</v>
      </c>
      <c r="G30" s="4">
        <v>0.66700000000000004</v>
      </c>
      <c r="H30" s="5">
        <v>0.8</v>
      </c>
      <c r="I30" s="14">
        <f t="shared" si="2"/>
        <v>0.71340000000000003</v>
      </c>
      <c r="J30" s="14">
        <f t="shared" si="3"/>
        <v>0.16608225253808392</v>
      </c>
    </row>
    <row r="31" spans="1:10" ht="15.5">
      <c r="A31" s="1" t="s">
        <v>10</v>
      </c>
      <c r="B31" s="2">
        <v>0.3</v>
      </c>
      <c r="C31" s="1" t="s">
        <v>4</v>
      </c>
      <c r="D31" s="4">
        <v>0.55600000000000005</v>
      </c>
      <c r="E31" s="3">
        <v>0</v>
      </c>
      <c r="F31" s="4">
        <v>0.69399999999999995</v>
      </c>
      <c r="G31" s="3">
        <v>0.47199999999999998</v>
      </c>
      <c r="H31" s="4">
        <v>0.52800000000000002</v>
      </c>
      <c r="I31" s="42">
        <f t="shared" si="2"/>
        <v>0.45</v>
      </c>
      <c r="J31" s="20">
        <f t="shared" si="3"/>
        <v>0.52572348738208852</v>
      </c>
    </row>
    <row r="32" spans="1:10" ht="15.5">
      <c r="A32" s="1" t="s">
        <v>10</v>
      </c>
      <c r="B32" s="2">
        <v>0.3</v>
      </c>
      <c r="C32" s="1" t="s">
        <v>5</v>
      </c>
      <c r="D32" s="5">
        <v>0.84</v>
      </c>
      <c r="E32" s="7" t="s">
        <v>11</v>
      </c>
      <c r="F32" s="5">
        <v>0.872</v>
      </c>
      <c r="G32" s="5">
        <v>0.83499999999999996</v>
      </c>
      <c r="H32" s="5">
        <v>0.82099999999999995</v>
      </c>
      <c r="I32" s="14">
        <f t="shared" si="2"/>
        <v>0.84199999999999986</v>
      </c>
      <c r="J32" s="14">
        <f t="shared" si="3"/>
        <v>2.2171205109969703E-2</v>
      </c>
    </row>
    <row r="33" spans="1:10" ht="15.5">
      <c r="A33" s="1" t="s">
        <v>10</v>
      </c>
      <c r="B33" s="2">
        <v>0.3</v>
      </c>
      <c r="C33" s="1" t="s">
        <v>6</v>
      </c>
      <c r="D33" s="5">
        <v>0.85</v>
      </c>
      <c r="E33" s="7" t="s">
        <v>11</v>
      </c>
      <c r="F33" s="5">
        <v>1</v>
      </c>
      <c r="G33" s="5">
        <v>1</v>
      </c>
      <c r="H33" s="5">
        <v>1</v>
      </c>
      <c r="I33" s="14">
        <f t="shared" si="2"/>
        <v>0.96250000000000002</v>
      </c>
      <c r="J33" s="14">
        <f>_xlfn.STDEV.P(D33,E33,F33,G33,H33)/I33</f>
        <v>6.7482498996190035E-2</v>
      </c>
    </row>
    <row r="34" spans="1:10" ht="15.5">
      <c r="A34" s="1" t="s">
        <v>10</v>
      </c>
      <c r="B34" s="2">
        <v>0.3</v>
      </c>
      <c r="C34" s="1" t="s">
        <v>7</v>
      </c>
      <c r="D34" s="3">
        <v>0.42499999999999999</v>
      </c>
      <c r="E34" s="7" t="s">
        <v>11</v>
      </c>
      <c r="F34" s="5">
        <v>0.8</v>
      </c>
      <c r="G34" s="3">
        <v>0.14099999999999999</v>
      </c>
      <c r="H34" s="5">
        <v>0.8</v>
      </c>
      <c r="I34" s="15">
        <f t="shared" si="2"/>
        <v>0.54150000000000009</v>
      </c>
      <c r="J34" s="20">
        <f t="shared" si="3"/>
        <v>0.51212586392863546</v>
      </c>
    </row>
    <row r="35" spans="1:10" ht="15.5">
      <c r="A35" s="1" t="s">
        <v>10</v>
      </c>
      <c r="B35" s="2">
        <v>0.3</v>
      </c>
      <c r="C35" s="1" t="s">
        <v>8</v>
      </c>
      <c r="D35" s="5">
        <v>0.75</v>
      </c>
      <c r="E35" s="7" t="s">
        <v>11</v>
      </c>
      <c r="F35" s="5">
        <v>0.753</v>
      </c>
      <c r="G35" s="5">
        <v>0.82899999999999996</v>
      </c>
      <c r="H35" s="4">
        <v>0.56899999999999995</v>
      </c>
      <c r="I35" s="14">
        <f t="shared" si="2"/>
        <v>0.72524999999999995</v>
      </c>
      <c r="J35" s="14">
        <f t="shared" si="3"/>
        <v>0.13182258232459157</v>
      </c>
    </row>
    <row r="36" spans="1:10" ht="15.5">
      <c r="A36" s="1" t="s">
        <v>12</v>
      </c>
      <c r="B36" s="2">
        <v>0.3</v>
      </c>
      <c r="C36" s="1" t="s">
        <v>4</v>
      </c>
      <c r="D36" s="3">
        <v>0</v>
      </c>
      <c r="E36" s="3">
        <v>0</v>
      </c>
      <c r="F36" s="5">
        <v>1</v>
      </c>
      <c r="G36" s="5">
        <v>1</v>
      </c>
      <c r="H36" s="5">
        <v>1</v>
      </c>
      <c r="I36" s="45">
        <f t="shared" si="2"/>
        <v>0.6</v>
      </c>
      <c r="J36" s="20">
        <f t="shared" si="3"/>
        <v>0.81649658092772603</v>
      </c>
    </row>
    <row r="37" spans="1:10" ht="15.5">
      <c r="A37" s="1" t="s">
        <v>12</v>
      </c>
      <c r="B37" s="2">
        <v>0.3</v>
      </c>
      <c r="C37" s="1" t="s">
        <v>5</v>
      </c>
      <c r="D37" s="7" t="s">
        <v>11</v>
      </c>
      <c r="E37" s="7" t="s">
        <v>11</v>
      </c>
      <c r="F37" s="3">
        <v>0</v>
      </c>
      <c r="G37" s="3">
        <v>6.4000000000000001E-2</v>
      </c>
      <c r="H37" s="3">
        <v>0</v>
      </c>
      <c r="I37" s="20">
        <f t="shared" si="2"/>
        <v>2.1333333333333333E-2</v>
      </c>
      <c r="J37" s="20">
        <f t="shared" si="3"/>
        <v>1.4142135623730954</v>
      </c>
    </row>
    <row r="38" spans="1:10" ht="15.5">
      <c r="A38" s="1" t="s">
        <v>12</v>
      </c>
      <c r="B38" s="2">
        <v>0.3</v>
      </c>
      <c r="C38" s="1" t="s">
        <v>6</v>
      </c>
      <c r="D38" s="7" t="s">
        <v>11</v>
      </c>
      <c r="E38" s="7" t="s">
        <v>11</v>
      </c>
      <c r="F38" s="5">
        <v>1</v>
      </c>
      <c r="G38" s="5">
        <v>1</v>
      </c>
      <c r="H38" s="5">
        <v>1</v>
      </c>
      <c r="I38" s="16">
        <f t="shared" si="2"/>
        <v>1</v>
      </c>
      <c r="J38" s="16">
        <f t="shared" si="3"/>
        <v>0</v>
      </c>
    </row>
    <row r="39" spans="1:10" ht="15.5">
      <c r="A39" s="1" t="s">
        <v>12</v>
      </c>
      <c r="B39" s="2">
        <v>0.3</v>
      </c>
      <c r="C39" s="1" t="s">
        <v>7</v>
      </c>
      <c r="D39" s="7" t="s">
        <v>11</v>
      </c>
      <c r="E39" s="7" t="s">
        <v>11</v>
      </c>
      <c r="F39" s="5">
        <v>0.8</v>
      </c>
      <c r="G39" s="5">
        <v>0.8</v>
      </c>
      <c r="H39" s="5">
        <v>0.8</v>
      </c>
      <c r="I39" s="34">
        <f t="shared" si="2"/>
        <v>0.80000000000000016</v>
      </c>
      <c r="J39" s="16">
        <f t="shared" si="3"/>
        <v>1.3877787807814454E-16</v>
      </c>
    </row>
    <row r="41" spans="1:10" ht="31">
      <c r="A41" s="1" t="s">
        <v>0</v>
      </c>
      <c r="B41" s="1" t="s">
        <v>1</v>
      </c>
      <c r="C41" s="1" t="s">
        <v>2</v>
      </c>
      <c r="D41" s="58" t="s">
        <v>25</v>
      </c>
      <c r="E41" s="58" t="s">
        <v>26</v>
      </c>
      <c r="F41" s="58" t="s">
        <v>20</v>
      </c>
      <c r="G41" s="58" t="s">
        <v>27</v>
      </c>
      <c r="H41" s="58" t="s">
        <v>28</v>
      </c>
      <c r="I41" s="1" t="s">
        <v>15</v>
      </c>
      <c r="J41" s="1" t="s">
        <v>16</v>
      </c>
    </row>
    <row r="42" spans="1:10" ht="15.5">
      <c r="A42" s="1" t="s">
        <v>3</v>
      </c>
      <c r="B42" s="2">
        <v>0.5</v>
      </c>
      <c r="C42" s="1" t="s">
        <v>4</v>
      </c>
      <c r="D42" s="3">
        <v>0</v>
      </c>
      <c r="E42" s="3">
        <v>0</v>
      </c>
      <c r="F42" s="4">
        <v>0.6</v>
      </c>
      <c r="G42" s="3">
        <v>0.2</v>
      </c>
      <c r="H42" s="5">
        <v>1</v>
      </c>
      <c r="I42" s="42">
        <f>AVERAGE(D42,E42,F42,G42,H42)</f>
        <v>0.36</v>
      </c>
      <c r="J42" s="20">
        <f>_xlfn.STDEV.P(D42,E42,F42,G42,H42)/I42</f>
        <v>1.0772621905369619</v>
      </c>
    </row>
    <row r="43" spans="1:10" ht="15.5">
      <c r="A43" s="1" t="s">
        <v>3</v>
      </c>
      <c r="B43" s="2">
        <v>0.5</v>
      </c>
      <c r="C43" s="1" t="s">
        <v>5</v>
      </c>
      <c r="D43" s="7" t="s">
        <v>11</v>
      </c>
      <c r="E43" s="7" t="s">
        <v>11</v>
      </c>
      <c r="F43" s="4">
        <v>0.66500000000000004</v>
      </c>
      <c r="G43" s="4">
        <v>0.61499999999999999</v>
      </c>
      <c r="H43" s="4">
        <v>0.621</v>
      </c>
      <c r="I43" s="15">
        <f t="shared" ref="I43:I59" si="4">AVERAGE(D43,E43,F43,G43,H43)</f>
        <v>0.63366666666666671</v>
      </c>
      <c r="J43" s="14">
        <f t="shared" ref="J43:J59" si="5">_xlfn.STDEV.P(D43,E43,F43,G43,H43)/I43</f>
        <v>3.5177808516150454E-2</v>
      </c>
    </row>
    <row r="44" spans="1:10" ht="15.5">
      <c r="A44" s="1" t="s">
        <v>3</v>
      </c>
      <c r="B44" s="2">
        <v>0.5</v>
      </c>
      <c r="C44" s="1" t="s">
        <v>6</v>
      </c>
      <c r="D44" s="7" t="s">
        <v>11</v>
      </c>
      <c r="E44" s="7" t="s">
        <v>11</v>
      </c>
      <c r="F44" s="5">
        <v>1</v>
      </c>
      <c r="G44" s="5">
        <v>1</v>
      </c>
      <c r="H44" s="3">
        <v>0</v>
      </c>
      <c r="I44" s="15">
        <f t="shared" si="4"/>
        <v>0.66666666666666663</v>
      </c>
      <c r="J44" s="20">
        <f t="shared" si="5"/>
        <v>0.70710678118654757</v>
      </c>
    </row>
    <row r="45" spans="1:10" ht="15.5">
      <c r="A45" s="1" t="s">
        <v>3</v>
      </c>
      <c r="B45" s="2">
        <v>0.5</v>
      </c>
      <c r="C45" s="1" t="s">
        <v>7</v>
      </c>
      <c r="D45" s="7" t="s">
        <v>11</v>
      </c>
      <c r="E45" s="7" t="s">
        <v>11</v>
      </c>
      <c r="F45" s="5">
        <v>0.8</v>
      </c>
      <c r="G45" s="5">
        <v>0.8</v>
      </c>
      <c r="H45" s="5">
        <v>0.8</v>
      </c>
      <c r="I45" s="34">
        <f t="shared" si="4"/>
        <v>0.80000000000000016</v>
      </c>
      <c r="J45" s="16">
        <f t="shared" si="5"/>
        <v>1.3877787807814454E-16</v>
      </c>
    </row>
    <row r="46" spans="1:10" ht="15.5">
      <c r="A46" s="1" t="s">
        <v>3</v>
      </c>
      <c r="B46" s="2">
        <v>0.5</v>
      </c>
      <c r="C46" s="1" t="s">
        <v>8</v>
      </c>
      <c r="D46" s="7" t="s">
        <v>11</v>
      </c>
      <c r="E46" s="7" t="s">
        <v>11</v>
      </c>
      <c r="F46" s="4">
        <v>0.5</v>
      </c>
      <c r="G46" s="5">
        <v>1</v>
      </c>
      <c r="H46" s="3">
        <v>0</v>
      </c>
      <c r="I46" s="45">
        <f t="shared" si="4"/>
        <v>0.5</v>
      </c>
      <c r="J46" s="20">
        <f t="shared" si="5"/>
        <v>0.81649658092772603</v>
      </c>
    </row>
    <row r="47" spans="1:10" ht="15.5">
      <c r="A47" s="1" t="s">
        <v>9</v>
      </c>
      <c r="B47" s="2">
        <v>0.5</v>
      </c>
      <c r="C47" s="1" t="s">
        <v>4</v>
      </c>
      <c r="D47" s="4">
        <v>0.625</v>
      </c>
      <c r="E47" s="4">
        <v>0.625</v>
      </c>
      <c r="F47" s="4">
        <v>0.5</v>
      </c>
      <c r="G47" s="4">
        <v>0.5</v>
      </c>
      <c r="H47" s="3">
        <v>0.375</v>
      </c>
      <c r="I47" s="15">
        <f t="shared" si="4"/>
        <v>0.52500000000000002</v>
      </c>
      <c r="J47" s="14">
        <f t="shared" si="5"/>
        <v>0.17817416127494959</v>
      </c>
    </row>
    <row r="48" spans="1:10" ht="15.5">
      <c r="A48" s="1" t="s">
        <v>9</v>
      </c>
      <c r="B48" s="2">
        <v>0.5</v>
      </c>
      <c r="C48" s="1" t="s">
        <v>5</v>
      </c>
      <c r="D48" s="5">
        <v>1</v>
      </c>
      <c r="E48" s="5">
        <v>0.96</v>
      </c>
      <c r="F48" s="5">
        <v>0.95</v>
      </c>
      <c r="G48" s="5">
        <v>0.85</v>
      </c>
      <c r="H48" s="4">
        <v>0.66700000000000004</v>
      </c>
      <c r="I48" s="14">
        <f t="shared" si="4"/>
        <v>0.88540000000000008</v>
      </c>
      <c r="J48" s="14">
        <f t="shared" si="5"/>
        <v>0.13536545754365387</v>
      </c>
    </row>
    <row r="49" spans="1:11" ht="15.5">
      <c r="A49" s="1" t="s">
        <v>9</v>
      </c>
      <c r="B49" s="2">
        <v>0.5</v>
      </c>
      <c r="C49" s="1" t="s">
        <v>6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16">
        <f t="shared" si="4"/>
        <v>1</v>
      </c>
      <c r="J49" s="16">
        <f t="shared" si="5"/>
        <v>0</v>
      </c>
    </row>
    <row r="50" spans="1:11" ht="15.5">
      <c r="A50" s="1" t="s">
        <v>9</v>
      </c>
      <c r="B50" s="2">
        <v>0.5</v>
      </c>
      <c r="C50" s="1" t="s">
        <v>7</v>
      </c>
      <c r="D50" s="4">
        <v>0.5</v>
      </c>
      <c r="E50" s="5">
        <v>0.8</v>
      </c>
      <c r="F50" s="5">
        <v>0.8</v>
      </c>
      <c r="G50" s="5">
        <v>0.8</v>
      </c>
      <c r="H50" s="5">
        <v>0.8</v>
      </c>
      <c r="I50" s="21">
        <f t="shared" si="4"/>
        <v>0.74</v>
      </c>
      <c r="J50" s="14">
        <f t="shared" si="5"/>
        <v>0.16216216216216245</v>
      </c>
    </row>
    <row r="51" spans="1:11" ht="15.5">
      <c r="A51" s="1" t="s">
        <v>10</v>
      </c>
      <c r="B51" s="2">
        <v>0.5</v>
      </c>
      <c r="C51" s="1" t="s">
        <v>4</v>
      </c>
      <c r="D51" s="4">
        <v>0.58299999999999996</v>
      </c>
      <c r="E51" s="3">
        <v>0.25</v>
      </c>
      <c r="F51" s="5">
        <v>0.75</v>
      </c>
      <c r="G51" s="5">
        <v>0.91700000000000004</v>
      </c>
      <c r="H51" s="3">
        <v>0.33300000000000002</v>
      </c>
      <c r="I51" s="15">
        <f t="shared" si="4"/>
        <v>0.56659999999999999</v>
      </c>
      <c r="J51" s="20">
        <f t="shared" si="5"/>
        <v>0.44051421200288587</v>
      </c>
    </row>
    <row r="52" spans="1:11" ht="15.5">
      <c r="A52" s="1" t="s">
        <v>10</v>
      </c>
      <c r="B52" s="2">
        <v>0.5</v>
      </c>
      <c r="C52" s="1" t="s">
        <v>5</v>
      </c>
      <c r="D52" s="5">
        <v>0.81</v>
      </c>
      <c r="E52" s="5">
        <v>0.93300000000000005</v>
      </c>
      <c r="F52" s="5">
        <v>0.75600000000000001</v>
      </c>
      <c r="G52" s="5">
        <v>0.81799999999999995</v>
      </c>
      <c r="H52" s="5">
        <v>0.73299999999999998</v>
      </c>
      <c r="I52" s="21">
        <f t="shared" si="4"/>
        <v>0.80999999999999994</v>
      </c>
      <c r="J52" s="14">
        <f t="shared" si="5"/>
        <v>8.5601060351509994E-2</v>
      </c>
    </row>
    <row r="53" spans="1:11" ht="15.5">
      <c r="A53" s="1" t="s">
        <v>10</v>
      </c>
      <c r="B53" s="2">
        <v>0.5</v>
      </c>
      <c r="C53" s="1" t="s">
        <v>6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16">
        <f t="shared" si="4"/>
        <v>1</v>
      </c>
      <c r="J53" s="16">
        <f t="shared" si="5"/>
        <v>0</v>
      </c>
    </row>
    <row r="54" spans="1:11" ht="15.5">
      <c r="A54" s="1" t="s">
        <v>10</v>
      </c>
      <c r="B54" s="2">
        <v>0.5</v>
      </c>
      <c r="C54" s="1" t="s">
        <v>7</v>
      </c>
      <c r="D54" s="4">
        <v>0.5</v>
      </c>
      <c r="E54" s="5">
        <v>0.8</v>
      </c>
      <c r="F54" s="5">
        <v>0.8</v>
      </c>
      <c r="G54" s="5">
        <v>0.8</v>
      </c>
      <c r="H54" s="5">
        <v>0.8</v>
      </c>
      <c r="I54" s="21">
        <f>AVERAGE(D54,E54,F54,G54,H54)</f>
        <v>0.74</v>
      </c>
      <c r="J54" s="14">
        <f t="shared" si="5"/>
        <v>0.16216216216216245</v>
      </c>
    </row>
    <row r="55" spans="1:11" ht="15.5">
      <c r="A55" s="1" t="s">
        <v>10</v>
      </c>
      <c r="B55" s="2">
        <v>0.5</v>
      </c>
      <c r="C55" s="1" t="s">
        <v>8</v>
      </c>
      <c r="D55" s="4">
        <v>0.67100000000000004</v>
      </c>
      <c r="E55" s="5">
        <v>0.89900000000000002</v>
      </c>
      <c r="F55" s="4">
        <v>0.69</v>
      </c>
      <c r="G55" s="5">
        <v>0.70199999999999996</v>
      </c>
      <c r="H55" s="4">
        <v>0.54500000000000004</v>
      </c>
      <c r="I55" s="14">
        <f t="shared" si="4"/>
        <v>0.70139999999999991</v>
      </c>
      <c r="J55" s="14">
        <f t="shared" si="5"/>
        <v>0.16200746754468648</v>
      </c>
    </row>
    <row r="56" spans="1:11" ht="15.5">
      <c r="A56" s="1" t="s">
        <v>12</v>
      </c>
      <c r="B56" s="2">
        <v>0.5</v>
      </c>
      <c r="C56" s="1" t="s">
        <v>4</v>
      </c>
      <c r="D56" s="3">
        <v>0</v>
      </c>
      <c r="E56" s="3">
        <v>0</v>
      </c>
      <c r="F56" s="5">
        <v>1</v>
      </c>
      <c r="G56" s="3">
        <v>0</v>
      </c>
      <c r="H56" s="5">
        <v>1</v>
      </c>
      <c r="I56" s="18">
        <f t="shared" si="4"/>
        <v>0.4</v>
      </c>
      <c r="J56" s="20">
        <f>_xlfn.STDEV.P(D56,E56,F56,G56,H56)/I56</f>
        <v>1.2247448713915889</v>
      </c>
    </row>
    <row r="57" spans="1:11" ht="15.5">
      <c r="A57" s="1" t="s">
        <v>12</v>
      </c>
      <c r="B57" s="2">
        <v>0.5</v>
      </c>
      <c r="C57" s="1" t="s">
        <v>5</v>
      </c>
      <c r="D57" s="7" t="s">
        <v>11</v>
      </c>
      <c r="E57" s="7" t="s">
        <v>11</v>
      </c>
      <c r="F57" s="3">
        <v>0</v>
      </c>
      <c r="G57" s="7" t="s">
        <v>11</v>
      </c>
      <c r="H57" s="3">
        <v>0</v>
      </c>
      <c r="I57" s="18">
        <f t="shared" si="4"/>
        <v>0</v>
      </c>
      <c r="J57" s="16">
        <v>0</v>
      </c>
    </row>
    <row r="58" spans="1:11" ht="15.5">
      <c r="A58" s="1" t="s">
        <v>12</v>
      </c>
      <c r="B58" s="2">
        <v>0.5</v>
      </c>
      <c r="C58" s="1" t="s">
        <v>6</v>
      </c>
      <c r="D58" s="7" t="s">
        <v>11</v>
      </c>
      <c r="E58" s="7" t="s">
        <v>11</v>
      </c>
      <c r="F58" s="5">
        <v>1</v>
      </c>
      <c r="G58" s="7" t="s">
        <v>11</v>
      </c>
      <c r="H58" s="5">
        <v>1</v>
      </c>
      <c r="I58" s="16">
        <f t="shared" si="4"/>
        <v>1</v>
      </c>
      <c r="J58" s="16">
        <f t="shared" si="5"/>
        <v>0</v>
      </c>
    </row>
    <row r="59" spans="1:11" ht="15.5">
      <c r="A59" s="1" t="s">
        <v>12</v>
      </c>
      <c r="B59" s="2">
        <v>0.5</v>
      </c>
      <c r="C59" s="1" t="s">
        <v>7</v>
      </c>
      <c r="D59" s="7" t="s">
        <v>11</v>
      </c>
      <c r="E59" s="7" t="s">
        <v>11</v>
      </c>
      <c r="F59" s="5">
        <v>0.8</v>
      </c>
      <c r="G59" s="7" t="s">
        <v>11</v>
      </c>
      <c r="H59" s="5">
        <v>0.8</v>
      </c>
      <c r="I59" s="34">
        <f t="shared" si="4"/>
        <v>0.8</v>
      </c>
      <c r="J59" s="16">
        <f t="shared" si="5"/>
        <v>0</v>
      </c>
    </row>
    <row r="61" spans="1:11" ht="15.5">
      <c r="A61" s="9"/>
    </row>
    <row r="62" spans="1:11" ht="31">
      <c r="A62" s="1" t="s">
        <v>0</v>
      </c>
      <c r="B62" s="1" t="s">
        <v>1</v>
      </c>
      <c r="C62" s="1" t="s">
        <v>2</v>
      </c>
      <c r="D62" s="58" t="s">
        <v>25</v>
      </c>
      <c r="E62" s="58" t="s">
        <v>26</v>
      </c>
      <c r="F62" s="58" t="s">
        <v>20</v>
      </c>
      <c r="G62" s="58" t="s">
        <v>27</v>
      </c>
      <c r="H62" s="58" t="s">
        <v>28</v>
      </c>
      <c r="K62" s="1" t="s">
        <v>17</v>
      </c>
    </row>
    <row r="63" spans="1:11" ht="15.5">
      <c r="A63" s="1" t="s">
        <v>3</v>
      </c>
      <c r="B63" s="1" t="s">
        <v>13</v>
      </c>
      <c r="C63" s="1" t="s">
        <v>4</v>
      </c>
      <c r="D63" s="47">
        <v>0.26700000000000002</v>
      </c>
      <c r="E63" s="47">
        <f>AVERAGE(E2,E22,E42)</f>
        <v>0</v>
      </c>
      <c r="F63" s="45">
        <f>AVERAGE(F2,F22,F42)</f>
        <v>0.6</v>
      </c>
      <c r="G63" s="48">
        <f>AVERAGE(G2,G22,G42)</f>
        <v>0.39999999999999997</v>
      </c>
      <c r="H63" s="51">
        <f>AVERAGE(H2,H22,H42)</f>
        <v>0.8666666666666667</v>
      </c>
      <c r="K63" s="22" t="s">
        <v>28</v>
      </c>
    </row>
    <row r="64" spans="1:11" ht="15.5">
      <c r="A64" s="1" t="s">
        <v>3</v>
      </c>
      <c r="B64" s="1" t="s">
        <v>13</v>
      </c>
      <c r="C64" s="1" t="s">
        <v>5</v>
      </c>
      <c r="D64" s="49">
        <v>0.15049999999999999</v>
      </c>
      <c r="E64" s="50" t="s">
        <v>11</v>
      </c>
      <c r="F64" s="51">
        <f t="shared" ref="F64:G80" si="6">AVERAGE(F3,F23,F43)</f>
        <v>0.77233333333333343</v>
      </c>
      <c r="G64" s="52">
        <f t="shared" si="6"/>
        <v>0.65600000000000003</v>
      </c>
      <c r="H64" s="52">
        <f t="shared" ref="H64" si="7">AVERAGE(H3,H23,H43)</f>
        <v>0.63300000000000001</v>
      </c>
      <c r="K64" s="23" t="s">
        <v>20</v>
      </c>
    </row>
    <row r="65" spans="1:11" ht="15.5">
      <c r="A65" s="1" t="s">
        <v>3</v>
      </c>
      <c r="B65" s="1" t="s">
        <v>13</v>
      </c>
      <c r="C65" s="1" t="s">
        <v>6</v>
      </c>
      <c r="D65" s="52">
        <v>0.66649999999999998</v>
      </c>
      <c r="E65" s="50" t="s">
        <v>11</v>
      </c>
      <c r="F65" s="34">
        <f t="shared" si="6"/>
        <v>1</v>
      </c>
      <c r="G65" s="34">
        <f t="shared" si="6"/>
        <v>1</v>
      </c>
      <c r="H65" s="47">
        <f t="shared" ref="H65" si="8">AVERAGE(H4,H24,H44)</f>
        <v>0</v>
      </c>
      <c r="K65" s="23" t="s">
        <v>29</v>
      </c>
    </row>
    <row r="66" spans="1:11" ht="15.5">
      <c r="A66" s="1" t="s">
        <v>3</v>
      </c>
      <c r="B66" s="1" t="s">
        <v>13</v>
      </c>
      <c r="C66" s="1" t="s">
        <v>7</v>
      </c>
      <c r="D66" s="53">
        <v>0.5</v>
      </c>
      <c r="E66" s="50" t="s">
        <v>11</v>
      </c>
      <c r="F66" s="52">
        <f t="shared" si="6"/>
        <v>0.6223333333333334</v>
      </c>
      <c r="G66" s="52">
        <f t="shared" si="6"/>
        <v>0.53333333333333333</v>
      </c>
      <c r="H66" s="34">
        <f t="shared" ref="H66" si="9">AVERAGE(H5,H25,H45)</f>
        <v>0.80000000000000016</v>
      </c>
      <c r="K66" s="22" t="s">
        <v>28</v>
      </c>
    </row>
    <row r="67" spans="1:11" ht="15.5">
      <c r="A67" s="1" t="s">
        <v>3</v>
      </c>
      <c r="B67" s="1" t="s">
        <v>13</v>
      </c>
      <c r="C67" s="1" t="s">
        <v>8</v>
      </c>
      <c r="D67" s="51">
        <v>0.83350000000000002</v>
      </c>
      <c r="E67" s="50" t="s">
        <v>11</v>
      </c>
      <c r="F67" s="45">
        <f t="shared" si="6"/>
        <v>0.5</v>
      </c>
      <c r="G67" s="51">
        <f t="shared" si="6"/>
        <v>0.91666666666666663</v>
      </c>
      <c r="H67" s="47">
        <f t="shared" ref="H67" si="10">AVERAGE(H6,H26,H46)</f>
        <v>0</v>
      </c>
      <c r="K67" s="24" t="s">
        <v>27</v>
      </c>
    </row>
    <row r="68" spans="1:11" ht="15.5">
      <c r="A68" s="27" t="s">
        <v>9</v>
      </c>
      <c r="B68" s="27" t="s">
        <v>13</v>
      </c>
      <c r="C68" s="27" t="s">
        <v>4</v>
      </c>
      <c r="D68" s="40">
        <v>0.625</v>
      </c>
      <c r="E68" s="28">
        <f t="shared" ref="E68:E77" si="11">AVERAGE(E7,E27,E47)</f>
        <v>0.70833333333333337</v>
      </c>
      <c r="F68" s="29">
        <f>AVERAGE(F7,F27,F47)</f>
        <v>0.58333333333333337</v>
      </c>
      <c r="G68" s="29">
        <f t="shared" si="6"/>
        <v>0.625</v>
      </c>
      <c r="H68" s="41">
        <f t="shared" ref="H68" si="12">AVERAGE(H7,H27,H47)</f>
        <v>0.5</v>
      </c>
      <c r="K68" s="38" t="s">
        <v>22</v>
      </c>
    </row>
    <row r="69" spans="1:11" ht="15.5">
      <c r="A69" s="27" t="s">
        <v>9</v>
      </c>
      <c r="B69" s="27" t="s">
        <v>13</v>
      </c>
      <c r="C69" s="27" t="s">
        <v>5</v>
      </c>
      <c r="D69" s="31">
        <v>1</v>
      </c>
      <c r="E69" s="31">
        <f t="shared" si="11"/>
        <v>0.90899999999999992</v>
      </c>
      <c r="F69" s="28">
        <f t="shared" si="6"/>
        <v>0.87766666666666671</v>
      </c>
      <c r="G69" s="28">
        <f t="shared" si="6"/>
        <v>0.91433333333333333</v>
      </c>
      <c r="H69" s="28">
        <f t="shared" ref="H69" si="13">AVERAGE(H8,H28,H48)</f>
        <v>0.76666666666666661</v>
      </c>
      <c r="K69" s="46" t="s">
        <v>30</v>
      </c>
    </row>
    <row r="70" spans="1:11" ht="15.5">
      <c r="A70" s="27" t="s">
        <v>9</v>
      </c>
      <c r="B70" s="27" t="s">
        <v>13</v>
      </c>
      <c r="C70" s="27" t="s">
        <v>6</v>
      </c>
      <c r="D70" s="31">
        <v>1</v>
      </c>
      <c r="E70" s="31">
        <f t="shared" si="11"/>
        <v>1</v>
      </c>
      <c r="F70" s="31">
        <f t="shared" si="6"/>
        <v>1</v>
      </c>
      <c r="G70" s="31">
        <f t="shared" si="6"/>
        <v>1</v>
      </c>
      <c r="H70" s="56">
        <f t="shared" ref="H70" si="14">AVERAGE(H9,H29,H49)</f>
        <v>1</v>
      </c>
      <c r="K70" s="25" t="s">
        <v>18</v>
      </c>
    </row>
    <row r="71" spans="1:11" ht="15.5">
      <c r="A71" s="27" t="s">
        <v>9</v>
      </c>
      <c r="B71" s="27" t="s">
        <v>13</v>
      </c>
      <c r="C71" s="27" t="s">
        <v>7</v>
      </c>
      <c r="D71" s="40">
        <v>0.5</v>
      </c>
      <c r="E71" s="31">
        <f t="shared" si="11"/>
        <v>0.80000000000000016</v>
      </c>
      <c r="F71" s="31">
        <f t="shared" si="6"/>
        <v>0.80000000000000016</v>
      </c>
      <c r="G71" s="28">
        <f>AVERAGE(G10,G30,G50)</f>
        <v>0.75566666666666682</v>
      </c>
      <c r="H71" s="31">
        <f t="shared" ref="H71" si="15">AVERAGE(H10,H30,H50)</f>
        <v>0.80000000000000016</v>
      </c>
      <c r="K71" s="26" t="s">
        <v>24</v>
      </c>
    </row>
    <row r="72" spans="1:11" ht="15.5">
      <c r="A72" s="1" t="s">
        <v>10</v>
      </c>
      <c r="B72" s="1" t="s">
        <v>13</v>
      </c>
      <c r="C72" s="1" t="s">
        <v>4</v>
      </c>
      <c r="D72" s="53">
        <v>0.59299999999999997</v>
      </c>
      <c r="E72" s="49">
        <f t="shared" si="11"/>
        <v>8.3333333333333329E-2</v>
      </c>
      <c r="F72" s="51">
        <f t="shared" si="6"/>
        <v>0.71266666666666667</v>
      </c>
      <c r="G72" s="52">
        <f>AVERAGE(G11,G31,G51)</f>
        <v>0.65733333333333333</v>
      </c>
      <c r="H72" s="52">
        <f t="shared" ref="H72" si="16">AVERAGE(H11,H31,H51)</f>
        <v>0.5093333333333333</v>
      </c>
      <c r="I72" s="32"/>
      <c r="K72" s="23" t="s">
        <v>20</v>
      </c>
    </row>
    <row r="73" spans="1:11" ht="15.5">
      <c r="A73" s="1" t="s">
        <v>10</v>
      </c>
      <c r="B73" s="1" t="s">
        <v>13</v>
      </c>
      <c r="C73" s="1" t="s">
        <v>5</v>
      </c>
      <c r="D73" s="34">
        <v>0.78500000000000003</v>
      </c>
      <c r="E73" s="34">
        <f t="shared" si="11"/>
        <v>0.93300000000000005</v>
      </c>
      <c r="F73" s="51">
        <f t="shared" si="6"/>
        <v>0.84133333333333338</v>
      </c>
      <c r="G73" s="54">
        <f t="shared" si="6"/>
        <v>0.77966666666666662</v>
      </c>
      <c r="H73" s="51">
        <f t="shared" ref="H73" si="17">AVERAGE(H12,H32,H52)</f>
        <v>0.79866666666666664</v>
      </c>
      <c r="I73" s="33"/>
      <c r="K73" s="39" t="s">
        <v>22</v>
      </c>
    </row>
    <row r="74" spans="1:11" ht="15.5">
      <c r="A74" s="1" t="s">
        <v>10</v>
      </c>
      <c r="B74" s="1" t="s">
        <v>13</v>
      </c>
      <c r="C74" s="1" t="s">
        <v>6</v>
      </c>
      <c r="D74" s="34">
        <v>0.95</v>
      </c>
      <c r="E74" s="34">
        <f t="shared" si="11"/>
        <v>1</v>
      </c>
      <c r="F74" s="34">
        <f t="shared" si="6"/>
        <v>1</v>
      </c>
      <c r="G74" s="34">
        <f t="shared" si="6"/>
        <v>1</v>
      </c>
      <c r="H74" s="34">
        <f t="shared" ref="H74" si="18">AVERAGE(H13,H33,H53)</f>
        <v>1</v>
      </c>
      <c r="K74" s="23" t="s">
        <v>23</v>
      </c>
    </row>
    <row r="75" spans="1:11" ht="15.5">
      <c r="A75" s="1" t="s">
        <v>10</v>
      </c>
      <c r="B75" s="1" t="s">
        <v>13</v>
      </c>
      <c r="C75" s="1" t="s">
        <v>7</v>
      </c>
      <c r="D75" s="47">
        <v>0.47499999999999998</v>
      </c>
      <c r="E75" s="34">
        <f t="shared" si="11"/>
        <v>0.8</v>
      </c>
      <c r="F75" s="34">
        <f t="shared" si="6"/>
        <v>0.80000000000000016</v>
      </c>
      <c r="G75" s="55">
        <f t="shared" si="6"/>
        <v>0.58033333333333337</v>
      </c>
      <c r="H75" s="34">
        <f t="shared" ref="H75" si="19">AVERAGE(H14,H34,H54)</f>
        <v>0.80000000000000016</v>
      </c>
      <c r="K75" s="23" t="s">
        <v>24</v>
      </c>
    </row>
    <row r="76" spans="1:11" ht="15.5">
      <c r="A76" s="1" t="s">
        <v>10</v>
      </c>
      <c r="B76" s="1" t="s">
        <v>13</v>
      </c>
      <c r="C76" s="1" t="s">
        <v>8</v>
      </c>
      <c r="D76" s="34">
        <v>0.80700000000000005</v>
      </c>
      <c r="E76" s="34">
        <f t="shared" si="11"/>
        <v>0.89900000000000002</v>
      </c>
      <c r="F76" s="51">
        <f t="shared" si="6"/>
        <v>0.71599999999999986</v>
      </c>
      <c r="G76" s="51">
        <f t="shared" si="6"/>
        <v>0.78599999999999992</v>
      </c>
      <c r="H76" s="52">
        <f t="shared" ref="H76" si="20">AVERAGE(H15,H35,H55)</f>
        <v>0.57566666666666666</v>
      </c>
      <c r="K76" s="39" t="s">
        <v>22</v>
      </c>
    </row>
    <row r="77" spans="1:11" ht="15.5">
      <c r="A77" s="27" t="s">
        <v>12</v>
      </c>
      <c r="B77" s="27" t="s">
        <v>13</v>
      </c>
      <c r="C77" s="27" t="s">
        <v>4</v>
      </c>
      <c r="D77" s="35">
        <v>0</v>
      </c>
      <c r="E77" s="35">
        <f t="shared" si="11"/>
        <v>0</v>
      </c>
      <c r="F77" s="31">
        <f t="shared" si="6"/>
        <v>1</v>
      </c>
      <c r="G77" s="30">
        <f t="shared" si="6"/>
        <v>0.33333333333333331</v>
      </c>
      <c r="H77" s="31">
        <f t="shared" ref="H77" si="21">AVERAGE(H16,H36,H56)</f>
        <v>1</v>
      </c>
      <c r="K77" s="26" t="s">
        <v>19</v>
      </c>
    </row>
    <row r="78" spans="1:11" ht="15.5">
      <c r="A78" s="27" t="s">
        <v>12</v>
      </c>
      <c r="B78" s="27" t="s">
        <v>13</v>
      </c>
      <c r="C78" s="27" t="s">
        <v>5</v>
      </c>
      <c r="D78" s="36" t="s">
        <v>11</v>
      </c>
      <c r="E78" s="36" t="s">
        <v>11</v>
      </c>
      <c r="F78" s="57">
        <f t="shared" si="6"/>
        <v>0.19033333333333333</v>
      </c>
      <c r="G78" s="30">
        <f t="shared" si="6"/>
        <v>6.4000000000000001E-2</v>
      </c>
      <c r="H78" s="35">
        <f t="shared" ref="H78" si="22">AVERAGE(H17,H37,H57)</f>
        <v>0</v>
      </c>
      <c r="K78" s="26" t="s">
        <v>20</v>
      </c>
    </row>
    <row r="79" spans="1:11" ht="15.5">
      <c r="A79" s="27" t="s">
        <v>12</v>
      </c>
      <c r="B79" s="27" t="s">
        <v>13</v>
      </c>
      <c r="C79" s="27" t="s">
        <v>6</v>
      </c>
      <c r="D79" s="36" t="s">
        <v>11</v>
      </c>
      <c r="E79" s="36" t="s">
        <v>11</v>
      </c>
      <c r="F79" s="31">
        <f t="shared" si="6"/>
        <v>1</v>
      </c>
      <c r="G79" s="31">
        <f t="shared" si="6"/>
        <v>1</v>
      </c>
      <c r="H79" s="31">
        <f t="shared" ref="H79" si="23">AVERAGE(H18,H38,H58)</f>
        <v>1</v>
      </c>
      <c r="K79" s="26" t="s">
        <v>21</v>
      </c>
    </row>
    <row r="80" spans="1:11" ht="15.5">
      <c r="A80" s="27" t="s">
        <v>12</v>
      </c>
      <c r="B80" s="27" t="s">
        <v>13</v>
      </c>
      <c r="C80" s="27" t="s">
        <v>7</v>
      </c>
      <c r="D80" s="36" t="s">
        <v>11</v>
      </c>
      <c r="E80" s="36" t="s">
        <v>11</v>
      </c>
      <c r="F80" s="28">
        <f t="shared" si="6"/>
        <v>0.8666666666666667</v>
      </c>
      <c r="G80" s="31">
        <f>AVERAGE(G19,G39,G59)</f>
        <v>0.8</v>
      </c>
      <c r="H80" s="31">
        <f t="shared" ref="H80" si="24">AVERAGE(H19,H39,H59)</f>
        <v>0.80000000000000016</v>
      </c>
      <c r="K80" s="26" t="s">
        <v>20</v>
      </c>
    </row>
    <row r="83" spans="1:8" ht="15.5">
      <c r="A83" s="1" t="s">
        <v>3</v>
      </c>
      <c r="B83" s="1" t="s">
        <v>14</v>
      </c>
      <c r="C83" s="1" t="s">
        <v>4</v>
      </c>
      <c r="D83" s="10">
        <v>0.93500000000000005</v>
      </c>
      <c r="E83" s="11">
        <v>0</v>
      </c>
      <c r="F83" s="16">
        <f>_xlfn.STDEV.P(F2,F22,F42)/F63</f>
        <v>0</v>
      </c>
      <c r="G83" s="13">
        <f>_xlfn.STDEV.P(G2,G22,G42)/G63</f>
        <v>0.40824829046386324</v>
      </c>
      <c r="H83" s="15">
        <f>_xlfn.STDEV.P(H2,H22,H42)/H63</f>
        <v>0.21757131728816823</v>
      </c>
    </row>
    <row r="84" spans="1:8" ht="15.5">
      <c r="A84" s="1" t="s">
        <v>3</v>
      </c>
      <c r="B84" s="1" t="s">
        <v>14</v>
      </c>
      <c r="C84" s="1" t="s">
        <v>5</v>
      </c>
      <c r="D84" s="10">
        <v>1</v>
      </c>
      <c r="E84" s="12" t="s">
        <v>11</v>
      </c>
      <c r="F84" s="14">
        <f>_xlfn.STDEV.P(F3,F23,F43)/F64</f>
        <v>0.13387581536158855</v>
      </c>
      <c r="G84" s="17">
        <f>_xlfn.STDEV.P(G3,G23,G43)/G64</f>
        <v>0.3309319795879801</v>
      </c>
      <c r="H84" s="14">
        <f>_xlfn.STDEV.P(H3,H23,H43)/H64</f>
        <v>0.13096611064045108</v>
      </c>
    </row>
    <row r="85" spans="1:8" ht="15.5">
      <c r="A85" s="1" t="s">
        <v>3</v>
      </c>
      <c r="B85" s="1" t="s">
        <v>14</v>
      </c>
      <c r="C85" s="1" t="s">
        <v>6</v>
      </c>
      <c r="D85" s="10">
        <v>0.5</v>
      </c>
      <c r="E85" s="12" t="s">
        <v>11</v>
      </c>
      <c r="F85" s="11">
        <f>_xlfn.STDEV.P(F4,F24,F44)/F65</f>
        <v>0</v>
      </c>
      <c r="G85" s="11">
        <f>_xlfn.STDEV.P(G4,G24,G44)/G65</f>
        <v>0</v>
      </c>
      <c r="H85" s="11">
        <v>0</v>
      </c>
    </row>
    <row r="86" spans="1:8" ht="15.5">
      <c r="A86" s="1" t="s">
        <v>3</v>
      </c>
      <c r="B86" s="1" t="s">
        <v>14</v>
      </c>
      <c r="C86" s="1" t="s">
        <v>7</v>
      </c>
      <c r="D86" s="11">
        <v>0</v>
      </c>
      <c r="E86" s="12" t="s">
        <v>11</v>
      </c>
      <c r="F86" s="13">
        <f>_xlfn.STDEV.P(F5,F25,F45)/F66</f>
        <v>0.40373638390190675</v>
      </c>
      <c r="G86" s="13">
        <f>_xlfn.STDEV.P(G5,G25,G45)/G66</f>
        <v>0.70710678118654768</v>
      </c>
      <c r="H86" s="16">
        <f>_xlfn.STDEV.P(H5,H25,H45)/H66</f>
        <v>1.3877787807814454E-16</v>
      </c>
    </row>
    <row r="87" spans="1:8" ht="15.5">
      <c r="A87" s="1" t="s">
        <v>3</v>
      </c>
      <c r="B87" s="1" t="s">
        <v>14</v>
      </c>
      <c r="C87" s="1" t="s">
        <v>8</v>
      </c>
      <c r="D87" s="37">
        <v>0.2</v>
      </c>
      <c r="E87" s="12" t="s">
        <v>11</v>
      </c>
      <c r="F87" s="16">
        <f>_xlfn.STDEV.P(F6,F26,F46)/F67</f>
        <v>0</v>
      </c>
      <c r="G87" s="14">
        <f>_xlfn.STDEV.P(G6,G26,G46)/G67</f>
        <v>0.12856486930664501</v>
      </c>
      <c r="H87" s="11">
        <v>0</v>
      </c>
    </row>
    <row r="88" spans="1:8" ht="15.5">
      <c r="A88" s="1" t="s">
        <v>9</v>
      </c>
      <c r="B88" s="1" t="s">
        <v>14</v>
      </c>
      <c r="C88" s="1" t="s">
        <v>4</v>
      </c>
      <c r="D88" s="11">
        <v>0</v>
      </c>
      <c r="E88" s="14">
        <f>_xlfn.STDEV.P(E7,E27,E47)/E68</f>
        <v>8.3189033080770289E-2</v>
      </c>
      <c r="F88" s="15">
        <f>_xlfn.STDEV.P(F7,F27,F47)/F68</f>
        <v>0.20203050891044214</v>
      </c>
      <c r="G88" s="14">
        <f>_xlfn.STDEV.P(G7,G27,G47)/G68</f>
        <v>0.16329931618554522</v>
      </c>
      <c r="H88" s="13">
        <f>_xlfn.STDEV.P(H7,H27,H47)/H68</f>
        <v>0.35355339059327379</v>
      </c>
    </row>
    <row r="89" spans="1:8" ht="15.5">
      <c r="A89" s="1" t="s">
        <v>9</v>
      </c>
      <c r="B89" s="1" t="s">
        <v>14</v>
      </c>
      <c r="C89" s="1" t="s">
        <v>5</v>
      </c>
      <c r="D89" s="11">
        <v>0</v>
      </c>
      <c r="E89" s="14">
        <f>_xlfn.STDEV.P(E8,E28,E48)/E69</f>
        <v>8.4848844776846497E-2</v>
      </c>
      <c r="F89" s="14">
        <f>_xlfn.STDEV.P(F8,F28,F48)/F69</f>
        <v>5.8810601167582514E-2</v>
      </c>
      <c r="G89" s="14">
        <f>_xlfn.STDEV.P(G8,G28,G48)/G69</f>
        <v>5.1192415669202615E-2</v>
      </c>
      <c r="H89" s="15">
        <f>_xlfn.STDEV.P(H8,H28,H48)/H69</f>
        <v>0.21596663608460839</v>
      </c>
    </row>
    <row r="90" spans="1:8" ht="15.5">
      <c r="A90" s="1" t="s">
        <v>9</v>
      </c>
      <c r="B90" s="1" t="s">
        <v>14</v>
      </c>
      <c r="C90" s="1" t="s">
        <v>6</v>
      </c>
      <c r="D90" s="11">
        <v>0</v>
      </c>
      <c r="E90" s="16">
        <f>_xlfn.STDEV.P(E9,E29,E49)/E70</f>
        <v>0</v>
      </c>
      <c r="F90" s="11">
        <f>_xlfn.STDEV.P(F9,F29,F49)/F70</f>
        <v>0</v>
      </c>
      <c r="G90" s="11">
        <f>_xlfn.STDEV.P(G9,G29,G49)/G70</f>
        <v>0</v>
      </c>
      <c r="H90" s="11">
        <f>_xlfn.STDEV.P(H9,H29,H49)/H70</f>
        <v>0</v>
      </c>
    </row>
    <row r="91" spans="1:8" ht="15.5">
      <c r="A91" s="1" t="s">
        <v>9</v>
      </c>
      <c r="B91" s="1" t="s">
        <v>14</v>
      </c>
      <c r="C91" s="1" t="s">
        <v>7</v>
      </c>
      <c r="D91" s="11">
        <v>0</v>
      </c>
      <c r="E91" s="16">
        <f>_xlfn.STDEV.P(E10,E30,E50)/E71</f>
        <v>1.3877787807814454E-16</v>
      </c>
      <c r="F91" s="16">
        <f>_xlfn.STDEV.P(F10,F30,F50)/F71</f>
        <v>1.3877787807814454E-16</v>
      </c>
      <c r="G91" s="14">
        <f>_xlfn.STDEV.P(G10,G30,G50)/G71</f>
        <v>8.296885919524552E-2</v>
      </c>
      <c r="H91" s="16">
        <f>_xlfn.STDEV.P(H10,H30,H50)/H71</f>
        <v>1.3877787807814454E-16</v>
      </c>
    </row>
    <row r="92" spans="1:8" ht="15.5">
      <c r="A92" s="1" t="s">
        <v>10</v>
      </c>
      <c r="B92" s="1" t="s">
        <v>14</v>
      </c>
      <c r="C92" s="1" t="s">
        <v>4</v>
      </c>
      <c r="D92" s="11">
        <v>5.8000000000000003E-2</v>
      </c>
      <c r="E92" s="13">
        <f>_xlfn.STDEV.P(E11,E31,E51)/E72</f>
        <v>1.4142135623730951</v>
      </c>
      <c r="F92" s="14">
        <f>_xlfn.STDEV.P(F11,F31,F51)/F72</f>
        <v>3.7042076470015617E-2</v>
      </c>
      <c r="G92" s="15">
        <f>_xlfn.STDEV.P(G11,G31,G51)/G72</f>
        <v>0.28770998004035686</v>
      </c>
      <c r="H92" s="15">
        <f>_xlfn.STDEV.P(H11,H31,H51)/H72</f>
        <v>0.26896392997039581</v>
      </c>
    </row>
    <row r="93" spans="1:8" ht="15.5">
      <c r="A93" s="1" t="s">
        <v>10</v>
      </c>
      <c r="B93" s="1" t="s">
        <v>14</v>
      </c>
      <c r="C93" s="1" t="s">
        <v>5</v>
      </c>
      <c r="D93" s="11">
        <v>7.3999999999999996E-2</v>
      </c>
      <c r="E93" s="16">
        <f>_xlfn.STDEV.P(E12,E32,E52)/E73</f>
        <v>0</v>
      </c>
      <c r="F93" s="14">
        <f>_xlfn.STDEV.P(F12,F32,F52)/F73</f>
        <v>7.2658595159097616E-2</v>
      </c>
      <c r="G93" s="14">
        <f>_xlfn.STDEV.P(G12,G32,G52)/G73</f>
        <v>8.5414657679821718E-2</v>
      </c>
      <c r="H93" s="14">
        <f>_xlfn.STDEV.P(H12,H32,H52)/H73</f>
        <v>5.9121247613634152E-2</v>
      </c>
    </row>
    <row r="94" spans="1:8" ht="15.5">
      <c r="A94" s="1" t="s">
        <v>10</v>
      </c>
      <c r="B94" s="1" t="s">
        <v>14</v>
      </c>
      <c r="C94" s="1" t="s">
        <v>6</v>
      </c>
      <c r="D94" s="11">
        <v>7.3999999999999996E-2</v>
      </c>
      <c r="E94" s="16">
        <f>_xlfn.STDEV.P(E13,E33,E53)/E74</f>
        <v>0</v>
      </c>
      <c r="F94" s="11">
        <f>_xlfn.STDEV.P(F13,F33,F53)/F74</f>
        <v>0</v>
      </c>
      <c r="G94" s="11">
        <f>_xlfn.STDEV.P(G13,G33,G53)/G74</f>
        <v>0</v>
      </c>
      <c r="H94" s="11">
        <f>_xlfn.STDEV.P(H13,H33,H53)/H74</f>
        <v>0</v>
      </c>
    </row>
    <row r="95" spans="1:8" ht="15.5">
      <c r="A95" s="1" t="s">
        <v>10</v>
      </c>
      <c r="B95" s="1" t="s">
        <v>14</v>
      </c>
      <c r="C95" s="1" t="s">
        <v>7</v>
      </c>
      <c r="D95" s="11">
        <v>7.3999999999999996E-2</v>
      </c>
      <c r="E95" s="16">
        <f>_xlfn.STDEV.P(E14,E34,E54)/E75</f>
        <v>0</v>
      </c>
      <c r="F95" s="16">
        <f>_xlfn.STDEV.P(F14,F34,F54)/F75</f>
        <v>1.3877787807814454E-16</v>
      </c>
      <c r="G95" s="13">
        <f>_xlfn.STDEV.P(G14,G34,G54)/G75</f>
        <v>0.53530542079487076</v>
      </c>
      <c r="H95" s="16">
        <f>_xlfn.STDEV.P(H14,H34,H54)/H75</f>
        <v>1.3877787807814454E-16</v>
      </c>
    </row>
    <row r="96" spans="1:8" ht="15.5">
      <c r="A96" s="1" t="s">
        <v>10</v>
      </c>
      <c r="B96" s="1" t="s">
        <v>14</v>
      </c>
      <c r="C96" s="1" t="s">
        <v>8</v>
      </c>
      <c r="D96" s="11">
        <v>0.17399999999999999</v>
      </c>
      <c r="E96" s="16">
        <f>_xlfn.STDEV.P(E15,E35,E55)/E76</f>
        <v>0</v>
      </c>
      <c r="F96" s="14">
        <f>_xlfn.STDEV.P(F15,F35,F55)/F76</f>
        <v>3.7528013526660381E-2</v>
      </c>
      <c r="G96" s="14">
        <f>_xlfn.STDEV.P(G15,G35,G55)/G76</f>
        <v>7.557580319740545E-2</v>
      </c>
      <c r="H96" s="14">
        <f>_xlfn.STDEV.P(H15,H35,H55)/H76</f>
        <v>4.8914214434146758E-2</v>
      </c>
    </row>
    <row r="97" spans="1:8" ht="15.5">
      <c r="A97" s="1" t="s">
        <v>12</v>
      </c>
      <c r="B97" s="1" t="s">
        <v>14</v>
      </c>
      <c r="C97" s="1" t="s">
        <v>4</v>
      </c>
      <c r="D97" s="11">
        <v>0</v>
      </c>
      <c r="E97" s="16">
        <v>0</v>
      </c>
      <c r="F97" s="11">
        <f>_xlfn.STDEV.P(F16,F36,F56)/F77</f>
        <v>0</v>
      </c>
      <c r="G97" s="13">
        <f>_xlfn.STDEV.P(G16,G36,G56)/G77</f>
        <v>1.4142135623730951</v>
      </c>
      <c r="H97" s="11">
        <f>_xlfn.STDEV.P(H16,H36,H56)/H77</f>
        <v>0</v>
      </c>
    </row>
    <row r="98" spans="1:8" ht="15.5">
      <c r="A98" s="1" t="s">
        <v>12</v>
      </c>
      <c r="B98" s="1" t="s">
        <v>14</v>
      </c>
      <c r="C98" s="1" t="s">
        <v>5</v>
      </c>
      <c r="D98" s="12" t="s">
        <v>11</v>
      </c>
      <c r="E98" s="12" t="s">
        <v>11</v>
      </c>
      <c r="F98" s="13">
        <f>_xlfn.STDEV.P(F17,F37,F57)/F78</f>
        <v>1.4142135623730947</v>
      </c>
      <c r="G98" s="11">
        <f>_xlfn.STDEV.P(G17,G37,G57)/G78</f>
        <v>0</v>
      </c>
      <c r="H98" s="11">
        <v>0</v>
      </c>
    </row>
    <row r="99" spans="1:8" ht="15.5">
      <c r="A99" s="1" t="s">
        <v>12</v>
      </c>
      <c r="B99" s="1" t="s">
        <v>14</v>
      </c>
      <c r="C99" s="1" t="s">
        <v>6</v>
      </c>
      <c r="D99" s="12" t="s">
        <v>11</v>
      </c>
      <c r="E99" s="12" t="s">
        <v>11</v>
      </c>
      <c r="F99" s="11">
        <f>_xlfn.STDEV.P(F18,F38,F58)/F79</f>
        <v>0</v>
      </c>
      <c r="G99" s="11">
        <f>_xlfn.STDEV.P(G18,G38,G58)/G79</f>
        <v>0</v>
      </c>
      <c r="H99" s="11">
        <f>_xlfn.STDEV.P(H18,H38,H58)/H79</f>
        <v>0</v>
      </c>
    </row>
    <row r="100" spans="1:8" ht="15.5">
      <c r="A100" s="1" t="s">
        <v>12</v>
      </c>
      <c r="B100" s="1" t="s">
        <v>14</v>
      </c>
      <c r="C100" s="1" t="s">
        <v>7</v>
      </c>
      <c r="D100" s="12" t="s">
        <v>11</v>
      </c>
      <c r="E100" s="12" t="s">
        <v>11</v>
      </c>
      <c r="F100" s="14">
        <f>_xlfn.STDEV.P(F19,F39,F59)/F80</f>
        <v>0.10878565864408428</v>
      </c>
      <c r="G100" s="11">
        <f>_xlfn.STDEV.P(G19,G39,G59)/G80</f>
        <v>0</v>
      </c>
      <c r="H100" s="16">
        <f>_xlfn.STDEV.P(H19,H39,H59)/H80</f>
        <v>1.3877787807814454E-16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dcterms:created xsi:type="dcterms:W3CDTF">2015-06-05T18:17:20Z</dcterms:created>
  <dcterms:modified xsi:type="dcterms:W3CDTF">2025-11-13T20:49:15Z</dcterms:modified>
</cp:coreProperties>
</file>