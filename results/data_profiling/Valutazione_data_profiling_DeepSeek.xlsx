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profiling\DeepSeek\"/>
    </mc:Choice>
  </mc:AlternateContent>
  <xr:revisionPtr revIDLastSave="0" documentId="13_ncr:1_{29F99D45-F240-470D-BF1B-308EB6883D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23" i="1" l="1"/>
  <c r="C22" i="1"/>
  <c r="C21" i="1"/>
  <c r="D21" i="1" l="1"/>
  <c r="H4" i="1"/>
  <c r="I4" i="1" s="1"/>
  <c r="H5" i="1"/>
  <c r="I5" i="1" s="1"/>
  <c r="H7" i="1"/>
  <c r="I7" i="1" s="1"/>
  <c r="H8" i="1"/>
  <c r="I8" i="1" s="1"/>
  <c r="H9" i="1"/>
  <c r="I9" i="1" s="1"/>
  <c r="H11" i="1"/>
  <c r="I11" i="1" s="1"/>
  <c r="H12" i="1"/>
  <c r="I12" i="1" s="1"/>
  <c r="H13" i="1"/>
  <c r="I13" i="1" s="1"/>
  <c r="H3" i="1"/>
  <c r="I3" i="1" s="1"/>
  <c r="D22" i="1"/>
  <c r="D23" i="1"/>
  <c r="G21" i="1" l="1"/>
  <c r="G22" i="1" l="1"/>
  <c r="G23" i="1"/>
  <c r="F22" i="1" l="1"/>
  <c r="F23" i="1"/>
  <c r="E22" i="1"/>
  <c r="E23" i="1"/>
  <c r="F21" i="1"/>
  <c r="E21" i="1"/>
</calcChain>
</file>

<file path=xl/sharedStrings.xml><?xml version="1.0" encoding="utf-8"?>
<sst xmlns="http://schemas.openxmlformats.org/spreadsheetml/2006/main" count="34" uniqueCount="16">
  <si>
    <t xml:space="preserve">Dirtiness </t>
  </si>
  <si>
    <t xml:space="preserve">Metric </t>
  </si>
  <si>
    <t xml:space="preserve">COM </t>
  </si>
  <si>
    <t xml:space="preserve">ACC </t>
  </si>
  <si>
    <t xml:space="preserve">REA </t>
  </si>
  <si>
    <t xml:space="preserve">Mean </t>
  </si>
  <si>
    <t xml:space="preserve">CV </t>
  </si>
  <si>
    <t>Mean</t>
  </si>
  <si>
    <t>CV</t>
  </si>
  <si>
    <t>BEST MODEL</t>
  </si>
  <si>
    <t>V3_
ZERO</t>
  </si>
  <si>
    <t>V3.2_
ZERO</t>
  </si>
  <si>
    <t>DET</t>
  </si>
  <si>
    <t>KNO</t>
  </si>
  <si>
    <t>FEW</t>
  </si>
  <si>
    <t>V3.2_ZERO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</si>
</sst>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sz val="12"/>
      <color rgb="FFDC0000"/>
      <name val="SFRM1200"/>
    </font>
    <font>
      <sz val="12"/>
      <color rgb="FFCC7722"/>
      <name val="SFRM1200"/>
    </font>
    <font>
      <b/>
      <sz val="12"/>
      <color rgb="FFDC0000"/>
      <name val="SFBX1200"/>
    </font>
    <font>
      <b/>
      <sz val="12"/>
      <color rgb="FFCC7722"/>
      <name val="SFBX1200"/>
    </font>
    <font>
      <sz val="12"/>
      <color rgb="FF1EAA00"/>
      <name val="SFRM1200"/>
    </font>
    <font>
      <b/>
      <sz val="12"/>
      <color rgb="FF1EAA00"/>
      <name val="SFRM1200"/>
    </font>
    <font>
      <b/>
      <sz val="12"/>
      <color theme="5"/>
      <name val="SFRM1200"/>
    </font>
    <font>
      <b/>
      <sz val="12"/>
      <color rgb="FFDC0000"/>
      <name val="SFRM1200"/>
    </font>
    <font>
      <b/>
      <sz val="12"/>
      <color rgb="FF7030A0"/>
      <name val="SFRM120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5" fillId="2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1" fontId="7" fillId="0" borderId="1" xfId="0" applyNumberFormat="1" applyFont="1" applyBorder="1" applyAlignment="1">
      <alignment vertical="center" wrapText="1"/>
    </xf>
    <xf numFmtId="2" fontId="7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7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zoomScale="67" zoomScaleNormal="80" workbookViewId="0">
      <selection activeCell="K11" sqref="K11"/>
    </sheetView>
  </sheetViews>
  <sheetFormatPr defaultRowHeight="14.5"/>
  <cols>
    <col min="3" max="4" width="19.81640625" customWidth="1"/>
    <col min="5" max="5" width="19" customWidth="1"/>
    <col min="6" max="6" width="22.36328125" customWidth="1"/>
    <col min="7" max="7" width="15.08984375" customWidth="1"/>
    <col min="10" max="10" width="21.08984375" customWidth="1"/>
  </cols>
  <sheetData>
    <row r="1" spans="1:10" ht="31">
      <c r="A1" s="1" t="s">
        <v>0</v>
      </c>
      <c r="B1" s="1" t="s">
        <v>1</v>
      </c>
      <c r="C1" s="24" t="s">
        <v>10</v>
      </c>
      <c r="D1" s="24" t="s">
        <v>11</v>
      </c>
      <c r="E1" s="24" t="s">
        <v>12</v>
      </c>
      <c r="F1" s="24" t="s">
        <v>13</v>
      </c>
      <c r="G1" s="24" t="s">
        <v>14</v>
      </c>
      <c r="H1" s="1" t="s">
        <v>7</v>
      </c>
      <c r="I1" s="1" t="s">
        <v>8</v>
      </c>
    </row>
    <row r="3" spans="1:10" ht="15.5">
      <c r="A3" s="2">
        <v>0.1</v>
      </c>
      <c r="B3" s="1" t="s">
        <v>2</v>
      </c>
      <c r="C3" s="3">
        <v>0.39200000000000002</v>
      </c>
      <c r="D3" s="3">
        <v>0.371</v>
      </c>
      <c r="E3" s="4">
        <v>0.64900000000000002</v>
      </c>
      <c r="F3" s="3">
        <v>0.20599999999999999</v>
      </c>
      <c r="G3" s="9">
        <v>0.85599999999999998</v>
      </c>
      <c r="H3" s="8">
        <f>AVERAGE(C3,D3,E3,F3,G3)</f>
        <v>0.49479999999999996</v>
      </c>
      <c r="I3" s="8">
        <f>_xlfn.STDEV.P(C3,D3,E3,F3,G3)/H3</f>
        <v>0.46399241891833837</v>
      </c>
    </row>
    <row r="4" spans="1:10" ht="15.5">
      <c r="A4" s="2">
        <v>0.1</v>
      </c>
      <c r="B4" s="1" t="s">
        <v>3</v>
      </c>
      <c r="C4" s="3">
        <v>0.28899999999999998</v>
      </c>
      <c r="D4" s="4">
        <v>0.58299999999999996</v>
      </c>
      <c r="E4" s="3">
        <v>0.254</v>
      </c>
      <c r="F4" s="3">
        <v>0.3</v>
      </c>
      <c r="G4" s="4">
        <v>0.50600000000000001</v>
      </c>
      <c r="H4" s="8">
        <f t="shared" ref="H4:H13" si="0">AVERAGE(C4,D4,E4,F4,G4)</f>
        <v>0.38639999999999997</v>
      </c>
      <c r="I4" s="5">
        <f t="shared" ref="I4:I13" si="1">_xlfn.STDEV.P(C4,D4,E4,F4,G4)/H4</f>
        <v>0.34223624403330133</v>
      </c>
    </row>
    <row r="5" spans="1:10" ht="15.5">
      <c r="A5" s="2">
        <v>0.1</v>
      </c>
      <c r="B5" s="1" t="s">
        <v>4</v>
      </c>
      <c r="C5" s="6">
        <v>1</v>
      </c>
      <c r="D5" s="4">
        <v>0.65700000000000003</v>
      </c>
      <c r="E5" s="9">
        <v>1</v>
      </c>
      <c r="F5" s="9">
        <v>1</v>
      </c>
      <c r="G5" s="6">
        <v>0.871</v>
      </c>
      <c r="H5" s="7">
        <f t="shared" si="0"/>
        <v>0.90560000000000007</v>
      </c>
      <c r="I5" s="7">
        <f t="shared" si="1"/>
        <v>0.14792962684877889</v>
      </c>
    </row>
    <row r="7" spans="1:10" ht="15.5">
      <c r="A7" s="2">
        <v>0.3</v>
      </c>
      <c r="B7" s="1" t="s">
        <v>2</v>
      </c>
      <c r="C7" s="3">
        <v>0.34</v>
      </c>
      <c r="D7" s="3">
        <v>0.34</v>
      </c>
      <c r="E7" s="4">
        <v>0.64900000000000002</v>
      </c>
      <c r="F7" s="3">
        <v>0.42299999999999999</v>
      </c>
      <c r="G7" s="3">
        <v>0.495</v>
      </c>
      <c r="H7" s="8">
        <f t="shared" si="0"/>
        <v>0.44940000000000008</v>
      </c>
      <c r="I7" s="5">
        <f t="shared" si="1"/>
        <v>0.25672395855524038</v>
      </c>
    </row>
    <row r="8" spans="1:10" ht="15.5">
      <c r="A8" s="2">
        <v>0.3</v>
      </c>
      <c r="B8" s="1" t="s">
        <v>3</v>
      </c>
      <c r="C8" s="3">
        <v>0.21199999999999999</v>
      </c>
      <c r="D8" s="4">
        <v>0.57599999999999996</v>
      </c>
      <c r="E8" s="3">
        <v>0.222</v>
      </c>
      <c r="F8" s="3">
        <v>0.36599999999999999</v>
      </c>
      <c r="G8" s="4">
        <v>0.56299999999999994</v>
      </c>
      <c r="H8" s="8">
        <f t="shared" si="0"/>
        <v>0.38779999999999998</v>
      </c>
      <c r="I8" s="8">
        <f t="shared" si="1"/>
        <v>0.40769538265102934</v>
      </c>
    </row>
    <row r="9" spans="1:10" ht="15.5">
      <c r="A9" s="2">
        <v>0.3</v>
      </c>
      <c r="B9" s="1" t="s">
        <v>4</v>
      </c>
      <c r="C9" s="6">
        <v>0.875</v>
      </c>
      <c r="D9" s="6">
        <v>0.78800000000000003</v>
      </c>
      <c r="E9" s="6">
        <v>1</v>
      </c>
      <c r="F9" s="9">
        <v>0.97599999999999998</v>
      </c>
      <c r="G9" s="9">
        <v>0.94299999999999995</v>
      </c>
      <c r="H9" s="7">
        <f t="shared" si="0"/>
        <v>0.91639999999999999</v>
      </c>
      <c r="I9" s="7">
        <f t="shared" si="1"/>
        <v>8.3746500453156111E-2</v>
      </c>
    </row>
    <row r="11" spans="1:10" ht="15.5">
      <c r="A11" s="2">
        <v>0.5</v>
      </c>
      <c r="B11" s="1" t="s">
        <v>2</v>
      </c>
      <c r="C11" s="3">
        <v>0.46300000000000002</v>
      </c>
      <c r="D11" s="3">
        <v>0.309</v>
      </c>
      <c r="E11" s="4">
        <v>0.64900000000000002</v>
      </c>
      <c r="F11" s="4">
        <v>0.57699999999999996</v>
      </c>
      <c r="G11" s="4">
        <v>0.58799999999999997</v>
      </c>
      <c r="H11" s="5">
        <f t="shared" si="0"/>
        <v>0.51719999999999999</v>
      </c>
      <c r="I11" s="5">
        <f t="shared" si="1"/>
        <v>0.23241265834136771</v>
      </c>
    </row>
    <row r="12" spans="1:10" ht="15.5">
      <c r="A12" s="2">
        <v>0.5</v>
      </c>
      <c r="B12" s="1" t="s">
        <v>3</v>
      </c>
      <c r="C12" s="3">
        <v>0.378</v>
      </c>
      <c r="D12" s="4">
        <v>0.66700000000000004</v>
      </c>
      <c r="E12" s="3">
        <v>0.23799999999999999</v>
      </c>
      <c r="F12" s="4">
        <v>0.64300000000000002</v>
      </c>
      <c r="G12" s="3">
        <v>0.38600000000000001</v>
      </c>
      <c r="H12" s="8">
        <f t="shared" si="0"/>
        <v>0.46239999999999998</v>
      </c>
      <c r="I12" s="8">
        <f t="shared" si="1"/>
        <v>0.35901373619546434</v>
      </c>
    </row>
    <row r="13" spans="1:10" ht="15.5">
      <c r="A13" s="2">
        <v>0.5</v>
      </c>
      <c r="B13" s="1" t="s">
        <v>4</v>
      </c>
      <c r="C13" s="6">
        <v>0.84399999999999997</v>
      </c>
      <c r="D13" s="6">
        <v>0.79300000000000004</v>
      </c>
      <c r="E13" s="6">
        <v>1</v>
      </c>
      <c r="F13" s="9">
        <v>0.8</v>
      </c>
      <c r="G13" s="9">
        <v>0.95499999999999996</v>
      </c>
      <c r="H13" s="7">
        <f t="shared" si="0"/>
        <v>0.87840000000000007</v>
      </c>
      <c r="I13" s="7">
        <f t="shared" si="1"/>
        <v>9.5624620446865274E-2</v>
      </c>
    </row>
    <row r="14" spans="1:10" ht="15.5">
      <c r="A14" s="11"/>
      <c r="B14" s="12"/>
      <c r="E14" s="14"/>
      <c r="F14" s="15"/>
      <c r="G14" s="13"/>
    </row>
    <row r="15" spans="1:10" ht="15.5">
      <c r="J15" s="1" t="s">
        <v>9</v>
      </c>
    </row>
    <row r="16" spans="1:10" ht="15.5">
      <c r="A16" s="1" t="s">
        <v>5</v>
      </c>
      <c r="B16" s="1" t="s">
        <v>2</v>
      </c>
      <c r="C16" s="16">
        <f>AVERAGE(C3,C7,C11)</f>
        <v>0.39833333333333337</v>
      </c>
      <c r="D16" s="19">
        <f>AVERAGE(D3,D7,D11)</f>
        <v>0.34</v>
      </c>
      <c r="E16" s="5">
        <f>AVERAGE(E3,E7,E11)</f>
        <v>0.64900000000000002</v>
      </c>
      <c r="F16" s="8">
        <f>AVERAGE(F3,F7,F11)</f>
        <v>0.40199999999999997</v>
      </c>
      <c r="G16" s="5">
        <f>AVERAGE(G3,G7,G11)</f>
        <v>0.64633333333333332</v>
      </c>
      <c r="J16" s="10" t="s">
        <v>12</v>
      </c>
    </row>
    <row r="17" spans="1:10" ht="15.5" customHeight="1">
      <c r="A17" s="1" t="s">
        <v>5</v>
      </c>
      <c r="B17" s="1" t="s">
        <v>3</v>
      </c>
      <c r="C17" s="17">
        <f>AVERAGE(C4,C8,C12)</f>
        <v>0.29299999999999998</v>
      </c>
      <c r="D17" s="5">
        <f t="shared" ref="D17:D18" si="2">AVERAGE(D4,D8,D12)</f>
        <v>0.60866666666666658</v>
      </c>
      <c r="E17" s="8">
        <f t="shared" ref="E17:F18" si="3">AVERAGE(E4,E8,E12)</f>
        <v>0.23799999999999999</v>
      </c>
      <c r="F17" s="8">
        <f t="shared" si="3"/>
        <v>0.4363333333333333</v>
      </c>
      <c r="G17" s="8">
        <f t="shared" ref="G17" si="4">AVERAGE(G4,G8,G12)</f>
        <v>0.48500000000000004</v>
      </c>
      <c r="J17" s="22" t="s">
        <v>15</v>
      </c>
    </row>
    <row r="18" spans="1:10" ht="15.5">
      <c r="A18" s="1" t="s">
        <v>5</v>
      </c>
      <c r="B18" s="1" t="s">
        <v>4</v>
      </c>
      <c r="C18" s="7">
        <f>AVERAGE(C5,C9,C13)</f>
        <v>0.90633333333333332</v>
      </c>
      <c r="D18" s="7">
        <f t="shared" si="2"/>
        <v>0.746</v>
      </c>
      <c r="E18" s="23">
        <f t="shared" si="3"/>
        <v>1</v>
      </c>
      <c r="F18" s="7">
        <f t="shared" si="3"/>
        <v>0.92533333333333323</v>
      </c>
      <c r="G18" s="7">
        <f t="shared" ref="G18" si="5">AVERAGE(G5,G9,G13)</f>
        <v>0.92300000000000004</v>
      </c>
      <c r="J18" s="10" t="s">
        <v>12</v>
      </c>
    </row>
    <row r="21" spans="1:10" ht="15.5">
      <c r="A21" s="1" t="s">
        <v>6</v>
      </c>
      <c r="B21" s="1" t="s">
        <v>2</v>
      </c>
      <c r="C21" s="7">
        <f t="shared" ref="C21:G23" si="6">_xlfn.STDEV.P(C3,C7,C11)/C16</f>
        <v>0.12656194869321052</v>
      </c>
      <c r="D21" s="7">
        <f t="shared" si="6"/>
        <v>7.4445276496351492E-2</v>
      </c>
      <c r="E21" s="20">
        <f t="shared" si="6"/>
        <v>0</v>
      </c>
      <c r="F21" s="8">
        <f t="shared" si="6"/>
        <v>0.37857285908405397</v>
      </c>
      <c r="G21" s="5">
        <f t="shared" si="6"/>
        <v>0.2367834333062587</v>
      </c>
    </row>
    <row r="22" spans="1:10" ht="15.5">
      <c r="A22" s="1" t="s">
        <v>6</v>
      </c>
      <c r="B22" s="1" t="s">
        <v>3</v>
      </c>
      <c r="C22" s="18">
        <f t="shared" si="6"/>
        <v>0.23149561223572482</v>
      </c>
      <c r="D22" s="7">
        <f t="shared" si="6"/>
        <v>6.7930074494351358E-2</v>
      </c>
      <c r="E22" s="7">
        <f t="shared" si="6"/>
        <v>5.4890526448922769E-2</v>
      </c>
      <c r="F22" s="5">
        <f t="shared" si="6"/>
        <v>0.3405621981918095</v>
      </c>
      <c r="G22" s="7">
        <f t="shared" si="6"/>
        <v>0.15210291250728164</v>
      </c>
    </row>
    <row r="23" spans="1:10" ht="15.5">
      <c r="A23" s="1" t="s">
        <v>6</v>
      </c>
      <c r="B23" s="1" t="s">
        <v>4</v>
      </c>
      <c r="C23" s="7">
        <f t="shared" si="6"/>
        <v>7.4399363129341978E-2</v>
      </c>
      <c r="D23" s="7">
        <f t="shared" si="6"/>
        <v>8.4404288302086405E-2</v>
      </c>
      <c r="E23" s="20">
        <f t="shared" si="6"/>
        <v>0</v>
      </c>
      <c r="F23" s="7">
        <f t="shared" si="6"/>
        <v>9.6358809782711732E-2</v>
      </c>
      <c r="G23" s="21">
        <f t="shared" si="6"/>
        <v>4.0189029232917436E-2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dcterms:created xsi:type="dcterms:W3CDTF">2015-06-05T18:17:20Z</dcterms:created>
  <dcterms:modified xsi:type="dcterms:W3CDTF">2025-11-13T20:29:51Z</dcterms:modified>
</cp:coreProperties>
</file>