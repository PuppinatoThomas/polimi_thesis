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emini\"/>
    </mc:Choice>
  </mc:AlternateContent>
  <xr:revisionPtr revIDLastSave="0" documentId="13_ncr:1_{82EB6F90-4A46-405B-A16B-5FDFDFF5D3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13" i="1"/>
  <c r="I13" i="1" s="1"/>
  <c r="I4" i="1"/>
  <c r="I5" i="1"/>
  <c r="I7" i="1"/>
  <c r="I8" i="1"/>
  <c r="H4" i="1"/>
  <c r="H5" i="1"/>
  <c r="H7" i="1"/>
  <c r="H8" i="1"/>
  <c r="H9" i="1"/>
  <c r="I9" i="1" s="1"/>
  <c r="H11" i="1"/>
  <c r="I11" i="1" s="1"/>
  <c r="H12" i="1"/>
  <c r="I12" i="1" s="1"/>
  <c r="G21" i="1" l="1"/>
  <c r="G23" i="1" l="1"/>
  <c r="D22" i="1"/>
  <c r="D23" i="1"/>
  <c r="D21" i="1"/>
  <c r="G22" i="1" l="1"/>
  <c r="F22" i="1"/>
  <c r="F23" i="1"/>
  <c r="E22" i="1"/>
  <c r="E23" i="1"/>
  <c r="F21" i="1"/>
  <c r="E21" i="1"/>
</calcChain>
</file>

<file path=xl/sharedStrings.xml><?xml version="1.0" encoding="utf-8"?>
<sst xmlns="http://schemas.openxmlformats.org/spreadsheetml/2006/main" count="34" uniqueCount="16">
  <si>
    <t xml:space="preserve">Dirtiness </t>
  </si>
  <si>
    <t xml:space="preserve">Metric </t>
  </si>
  <si>
    <t xml:space="preserve">COM </t>
  </si>
  <si>
    <t xml:space="preserve">ACC </t>
  </si>
  <si>
    <t xml:space="preserve">REA </t>
  </si>
  <si>
    <t xml:space="preserve">Mean </t>
  </si>
  <si>
    <t xml:space="preserve">CV </t>
  </si>
  <si>
    <t>Mean</t>
  </si>
  <si>
    <t>CV</t>
  </si>
  <si>
    <t>BEST MODEL</t>
  </si>
  <si>
    <t>1.5_
ZERO</t>
  </si>
  <si>
    <t>2.0_
ZERO</t>
  </si>
  <si>
    <t>DET</t>
  </si>
  <si>
    <t>KNO</t>
  </si>
  <si>
    <t>FEW</t>
  </si>
  <si>
    <t>1.5_ZERO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</si>
</sst>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sz val="12"/>
      <color rgb="FFDC0000"/>
      <name val="SFRM1200"/>
    </font>
    <font>
      <sz val="12"/>
      <color rgb="FFCC7722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sz val="12"/>
      <color rgb="FF1EAA00"/>
      <name val="SFRM1200"/>
    </font>
    <font>
      <b/>
      <sz val="12"/>
      <color rgb="FF1EAA00"/>
      <name val="SFRM1200"/>
    </font>
    <font>
      <b/>
      <sz val="12"/>
      <color theme="5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5" fontId="5" fillId="2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69" zoomScaleNormal="80" workbookViewId="0">
      <selection activeCell="J10" sqref="J10"/>
    </sheetView>
  </sheetViews>
  <sheetFormatPr defaultRowHeight="14.5"/>
  <cols>
    <col min="3" max="3" width="20.1796875" customWidth="1"/>
    <col min="4" max="5" width="19.81640625" customWidth="1"/>
    <col min="6" max="7" width="22.36328125" customWidth="1"/>
    <col min="10" max="10" width="46.453125" customWidth="1"/>
  </cols>
  <sheetData>
    <row r="1" spans="1:10" ht="31">
      <c r="A1" s="1" t="s">
        <v>0</v>
      </c>
      <c r="B1" s="1" t="s">
        <v>1</v>
      </c>
      <c r="C1" s="25" t="s">
        <v>10</v>
      </c>
      <c r="D1" s="25" t="s">
        <v>11</v>
      </c>
      <c r="E1" s="25" t="s">
        <v>12</v>
      </c>
      <c r="F1" s="25" t="s">
        <v>13</v>
      </c>
      <c r="G1" s="25" t="s">
        <v>14</v>
      </c>
      <c r="H1" s="1" t="s">
        <v>7</v>
      </c>
      <c r="I1" s="1" t="s">
        <v>8</v>
      </c>
    </row>
    <row r="3" spans="1:10" ht="15.5">
      <c r="A3" s="2">
        <v>0.1</v>
      </c>
      <c r="B3" s="1" t="s">
        <v>2</v>
      </c>
      <c r="C3" s="13">
        <v>0.51500000000000001</v>
      </c>
      <c r="D3" s="14">
        <v>0.35099999999999998</v>
      </c>
      <c r="E3" s="15">
        <v>0.92800000000000005</v>
      </c>
      <c r="F3" s="16">
        <v>0.70099999999999996</v>
      </c>
      <c r="G3" s="16">
        <v>0.89700000000000002</v>
      </c>
      <c r="H3" s="3">
        <f>AVERAGE(C3,D3,E3,F3,G3)</f>
        <v>0.67840000000000011</v>
      </c>
      <c r="I3" s="3">
        <f>_xlfn.STDEV.P(C3,D3,E3,F3,G3)/H3</f>
        <v>0.32595468077699691</v>
      </c>
    </row>
    <row r="4" spans="1:10" ht="15.5">
      <c r="A4" s="2">
        <v>0.1</v>
      </c>
      <c r="B4" s="1" t="s">
        <v>3</v>
      </c>
      <c r="C4" s="13">
        <v>0.5</v>
      </c>
      <c r="D4" s="14">
        <v>0.32400000000000001</v>
      </c>
      <c r="E4" s="14">
        <v>0.3</v>
      </c>
      <c r="F4" s="14">
        <v>0.26400000000000001</v>
      </c>
      <c r="G4" s="14">
        <v>0.379</v>
      </c>
      <c r="H4" s="5">
        <f t="shared" ref="H4:H12" si="0">AVERAGE(C4,D4,E4,F4,G4)</f>
        <v>0.35340000000000005</v>
      </c>
      <c r="I4" s="3">
        <f t="shared" ref="I4:I12" si="1">_xlfn.STDEV.P(C4,D4,E4,F4,G4)/H4</f>
        <v>0.23284190538421204</v>
      </c>
    </row>
    <row r="5" spans="1:10" ht="15.5">
      <c r="A5" s="2">
        <v>0.1</v>
      </c>
      <c r="B5" s="1" t="s">
        <v>4</v>
      </c>
      <c r="C5" s="14">
        <v>0.32400000000000001</v>
      </c>
      <c r="D5" s="14">
        <v>0.32400000000000001</v>
      </c>
      <c r="E5" s="13">
        <v>0.60799999999999998</v>
      </c>
      <c r="F5" s="13">
        <v>0.52900000000000003</v>
      </c>
      <c r="G5" s="16">
        <v>0.73</v>
      </c>
      <c r="H5" s="3">
        <f t="shared" si="0"/>
        <v>0.503</v>
      </c>
      <c r="I5" s="3">
        <f t="shared" si="1"/>
        <v>0.3172354286866651</v>
      </c>
    </row>
    <row r="6" spans="1:10">
      <c r="C6" s="17"/>
      <c r="D6" s="17"/>
      <c r="E6" s="17"/>
      <c r="F6" s="17"/>
      <c r="G6" s="17"/>
    </row>
    <row r="7" spans="1:10" ht="15.5">
      <c r="A7" s="2">
        <v>0.3</v>
      </c>
      <c r="B7" s="1" t="s">
        <v>2</v>
      </c>
      <c r="C7" s="13">
        <v>0.66</v>
      </c>
      <c r="D7" s="14">
        <v>0.247</v>
      </c>
      <c r="E7" s="16">
        <v>0.84499999999999997</v>
      </c>
      <c r="F7" s="13">
        <v>0.59799999999999998</v>
      </c>
      <c r="G7" s="16">
        <v>0.876</v>
      </c>
      <c r="H7" s="3">
        <f t="shared" si="0"/>
        <v>0.6452</v>
      </c>
      <c r="I7" s="3">
        <f t="shared" si="1"/>
        <v>0.34946797795538537</v>
      </c>
    </row>
    <row r="8" spans="1:10" ht="15.5">
      <c r="A8" s="2">
        <v>0.3</v>
      </c>
      <c r="B8" s="1" t="s">
        <v>3</v>
      </c>
      <c r="C8" s="14">
        <v>0.40600000000000003</v>
      </c>
      <c r="D8" s="14">
        <v>0.45900000000000002</v>
      </c>
      <c r="E8" s="14">
        <v>0.42699999999999999</v>
      </c>
      <c r="F8" s="14">
        <v>0.25900000000000001</v>
      </c>
      <c r="G8" s="14">
        <v>0.375</v>
      </c>
      <c r="H8" s="5">
        <f t="shared" si="0"/>
        <v>0.38520000000000004</v>
      </c>
      <c r="I8" s="4">
        <f t="shared" si="1"/>
        <v>0.17856926806838247</v>
      </c>
    </row>
    <row r="9" spans="1:10" ht="15.5">
      <c r="A9" s="2">
        <v>0.3</v>
      </c>
      <c r="B9" s="1" t="s">
        <v>4</v>
      </c>
      <c r="C9" s="14">
        <v>0.24</v>
      </c>
      <c r="D9" s="13">
        <v>0.5</v>
      </c>
      <c r="E9" s="16">
        <v>0.81499999999999995</v>
      </c>
      <c r="F9" s="13">
        <v>0.65500000000000003</v>
      </c>
      <c r="G9" s="16">
        <v>0.83299999999999996</v>
      </c>
      <c r="H9" s="3">
        <f t="shared" si="0"/>
        <v>0.60860000000000003</v>
      </c>
      <c r="I9" s="5">
        <f t="shared" si="1"/>
        <v>0.36205941336415776</v>
      </c>
    </row>
    <row r="10" spans="1:10">
      <c r="C10" s="17"/>
      <c r="D10" s="17"/>
      <c r="E10" s="17"/>
      <c r="F10" s="17"/>
      <c r="G10" s="17"/>
    </row>
    <row r="11" spans="1:10" ht="15.5">
      <c r="A11" s="2">
        <v>0.5</v>
      </c>
      <c r="B11" s="1" t="s">
        <v>2</v>
      </c>
      <c r="C11" s="14">
        <v>0.38100000000000001</v>
      </c>
      <c r="D11" s="14">
        <v>0.247</v>
      </c>
      <c r="E11" s="16">
        <v>0.86699999999999999</v>
      </c>
      <c r="F11" s="13">
        <v>0.52700000000000002</v>
      </c>
      <c r="G11" s="13">
        <v>0.55700000000000005</v>
      </c>
      <c r="H11" s="23">
        <f t="shared" si="0"/>
        <v>0.51580000000000004</v>
      </c>
      <c r="I11" s="5">
        <f t="shared" si="1"/>
        <v>0.40257495922785996</v>
      </c>
    </row>
    <row r="12" spans="1:10" ht="15.5">
      <c r="A12" s="2">
        <v>0.5</v>
      </c>
      <c r="B12" s="1" t="s">
        <v>3</v>
      </c>
      <c r="C12" s="13">
        <v>0.64900000000000002</v>
      </c>
      <c r="D12" s="14">
        <v>0.33300000000000002</v>
      </c>
      <c r="E12" s="14">
        <v>0.186</v>
      </c>
      <c r="F12" s="14">
        <v>0.216</v>
      </c>
      <c r="G12" s="14">
        <v>0.44400000000000001</v>
      </c>
      <c r="H12" s="5">
        <f t="shared" si="0"/>
        <v>0.36559999999999998</v>
      </c>
      <c r="I12" s="5">
        <f t="shared" si="1"/>
        <v>0.46121067541994032</v>
      </c>
    </row>
    <row r="13" spans="1:10" ht="15.5">
      <c r="A13" s="2">
        <v>0.5</v>
      </c>
      <c r="B13" s="1" t="s">
        <v>4</v>
      </c>
      <c r="C13" s="13">
        <v>0.5</v>
      </c>
      <c r="D13" s="13">
        <v>0.5</v>
      </c>
      <c r="E13" s="14">
        <v>0.49299999999999999</v>
      </c>
      <c r="F13" s="16">
        <v>0.98</v>
      </c>
      <c r="G13" s="13">
        <v>0.51200000000000001</v>
      </c>
      <c r="H13" s="6">
        <f>AVERAGE(C13,D13,E13,F13,G13)</f>
        <v>0.59699999999999998</v>
      </c>
      <c r="I13" s="3">
        <f>_xlfn.STDEV.P(C13,D13,E13,F13,G13)/H13</f>
        <v>0.32093382707607193</v>
      </c>
    </row>
    <row r="14" spans="1:10" ht="15.5">
      <c r="A14" s="9"/>
      <c r="B14" s="10"/>
      <c r="C14" s="17"/>
      <c r="D14" s="18"/>
      <c r="E14" s="19"/>
      <c r="F14" s="20"/>
      <c r="G14" s="18"/>
    </row>
    <row r="15" spans="1:10" ht="15.5">
      <c r="C15" s="17"/>
      <c r="D15" s="17"/>
      <c r="E15" s="17"/>
      <c r="F15" s="17"/>
      <c r="G15" s="17"/>
      <c r="J15" s="1" t="s">
        <v>9</v>
      </c>
    </row>
    <row r="16" spans="1:10" ht="15.5">
      <c r="A16" s="1" t="s">
        <v>5</v>
      </c>
      <c r="B16" s="1" t="s">
        <v>2</v>
      </c>
      <c r="C16" s="3">
        <v>0.51900000000000002</v>
      </c>
      <c r="D16" s="21">
        <v>0.28166666666666668</v>
      </c>
      <c r="E16" s="24">
        <v>0.88</v>
      </c>
      <c r="F16" s="3">
        <v>0.60866666666666669</v>
      </c>
      <c r="G16" s="22">
        <v>0.77666666666666673</v>
      </c>
      <c r="J16" s="7" t="s">
        <v>12</v>
      </c>
    </row>
    <row r="17" spans="1:10" ht="15.5">
      <c r="A17" s="1" t="s">
        <v>5</v>
      </c>
      <c r="B17" s="1" t="s">
        <v>3</v>
      </c>
      <c r="C17" s="3">
        <v>0.51800000000000002</v>
      </c>
      <c r="D17" s="21">
        <v>0.37200000000000005</v>
      </c>
      <c r="E17" s="21">
        <v>0.30433333333333334</v>
      </c>
      <c r="F17" s="21">
        <v>0.24633333333333332</v>
      </c>
      <c r="G17" s="21">
        <v>0.39933333333333332</v>
      </c>
      <c r="J17" s="12" t="s">
        <v>15</v>
      </c>
    </row>
    <row r="18" spans="1:10" ht="15.5">
      <c r="A18" s="1" t="s">
        <v>5</v>
      </c>
      <c r="B18" s="1" t="s">
        <v>4</v>
      </c>
      <c r="C18" s="21">
        <v>0.35499999999999998</v>
      </c>
      <c r="D18" s="21">
        <v>0.44133333333333336</v>
      </c>
      <c r="E18" s="3">
        <v>0.6386666666666666</v>
      </c>
      <c r="F18" s="22">
        <v>0.72133333333333338</v>
      </c>
      <c r="G18" s="3">
        <v>0.69166666666666676</v>
      </c>
      <c r="J18" s="8" t="s">
        <v>13</v>
      </c>
    </row>
    <row r="19" spans="1:10">
      <c r="C19" s="17"/>
      <c r="D19" s="17"/>
      <c r="E19" s="17"/>
      <c r="F19" s="17"/>
      <c r="G19" s="17"/>
    </row>
    <row r="20" spans="1:10">
      <c r="C20" s="17"/>
      <c r="D20" s="17"/>
      <c r="E20" s="17"/>
      <c r="F20" s="17"/>
      <c r="G20" s="17"/>
    </row>
    <row r="21" spans="1:10" ht="15.5">
      <c r="A21" s="1" t="s">
        <v>6</v>
      </c>
      <c r="B21" s="1" t="s">
        <v>2</v>
      </c>
      <c r="C21" s="11">
        <v>0.29599999999999999</v>
      </c>
      <c r="D21" s="22">
        <f t="shared" ref="D21:G23" si="2">_xlfn.STDEV.P(D3,D7,D11)/D16</f>
        <v>0.17405705383053516</v>
      </c>
      <c r="E21" s="24">
        <f t="shared" si="2"/>
        <v>3.9896992022604827E-2</v>
      </c>
      <c r="F21" s="22">
        <f t="shared" si="2"/>
        <v>0.11736227988472009</v>
      </c>
      <c r="G21" s="6">
        <f t="shared" si="2"/>
        <v>0.20029726108413001</v>
      </c>
    </row>
    <row r="22" spans="1:10" ht="15.5">
      <c r="A22" s="1" t="s">
        <v>6</v>
      </c>
      <c r="B22" s="1" t="s">
        <v>3</v>
      </c>
      <c r="C22" s="11">
        <v>0.28599999999999998</v>
      </c>
      <c r="D22" s="22">
        <f t="shared" si="2"/>
        <v>0.165666440194952</v>
      </c>
      <c r="E22" s="3">
        <f t="shared" si="2"/>
        <v>0.32344646255403914</v>
      </c>
      <c r="F22" s="22">
        <f t="shared" si="2"/>
        <v>8.7466103443530799E-2</v>
      </c>
      <c r="G22" s="22">
        <f t="shared" si="2"/>
        <v>7.9197721323074607E-2</v>
      </c>
    </row>
    <row r="23" spans="1:10" ht="15.5">
      <c r="A23" s="1" t="s">
        <v>6</v>
      </c>
      <c r="B23" s="1" t="s">
        <v>4</v>
      </c>
      <c r="C23" s="11">
        <v>0.32800000000000001</v>
      </c>
      <c r="D23" s="22">
        <f t="shared" si="2"/>
        <v>0.18799213517950475</v>
      </c>
      <c r="E23" s="3">
        <f t="shared" si="2"/>
        <v>0.20861032647735062</v>
      </c>
      <c r="F23" s="3">
        <f t="shared" si="2"/>
        <v>0.26340191977045474</v>
      </c>
      <c r="G23" s="24">
        <f t="shared" si="2"/>
        <v>0.19347702066780767</v>
      </c>
    </row>
    <row r="24" spans="1:10">
      <c r="C24" s="17"/>
      <c r="D24" s="17"/>
      <c r="E24" s="17"/>
      <c r="F24" s="17"/>
      <c r="G24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dcterms:created xsi:type="dcterms:W3CDTF">2015-06-05T18:17:20Z</dcterms:created>
  <dcterms:modified xsi:type="dcterms:W3CDTF">2025-11-13T20:31:32Z</dcterms:modified>
</cp:coreProperties>
</file>